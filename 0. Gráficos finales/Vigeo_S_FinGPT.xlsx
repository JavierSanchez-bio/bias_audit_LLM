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TFM\LLM_bias\0. Gráficos finales\"/>
    </mc:Choice>
  </mc:AlternateContent>
  <xr:revisionPtr revIDLastSave="0" documentId="13_ncr:1_{36DAFAB0-7A86-416D-BD7D-506EB901427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4" i="2"/>
  <c r="W13" i="2"/>
  <c r="W12" i="2"/>
  <c r="W11" i="2"/>
  <c r="W10" i="2"/>
  <c r="W9" i="2"/>
  <c r="W8" i="2"/>
  <c r="W6" i="2"/>
  <c r="W7" i="2"/>
  <c r="W5" i="2"/>
  <c r="W4" i="2"/>
  <c r="W3" i="2"/>
  <c r="T13" i="2"/>
  <c r="T11" i="2"/>
  <c r="O31" i="1" s="1"/>
  <c r="T9" i="2"/>
  <c r="T7" i="2"/>
  <c r="T5" i="2"/>
  <c r="O28" i="1" s="1"/>
  <c r="T3" i="2"/>
  <c r="O27" i="1" s="1"/>
  <c r="O11" i="1"/>
  <c r="O10" i="1"/>
  <c r="O9" i="1"/>
  <c r="O8" i="1"/>
  <c r="O7" i="1"/>
  <c r="A5" i="2" s="1"/>
  <c r="O6" i="1"/>
  <c r="A3" i="2" s="1"/>
  <c r="O32" i="1"/>
  <c r="O30" i="1"/>
  <c r="O29" i="1"/>
  <c r="F6" i="2"/>
  <c r="F4" i="2"/>
  <c r="D9" i="2"/>
  <c r="D8" i="2"/>
  <c r="D7" i="2"/>
  <c r="F8" i="2" s="1"/>
  <c r="D6" i="2"/>
  <c r="D14" i="2"/>
  <c r="D13" i="2"/>
  <c r="D12" i="2"/>
  <c r="D11" i="2"/>
  <c r="D10" i="2"/>
  <c r="D5" i="2"/>
  <c r="D4" i="2"/>
  <c r="D3" i="2"/>
  <c r="D30" i="2" l="1"/>
  <c r="F14" i="2"/>
  <c r="D40" i="2" s="1"/>
  <c r="F12" i="2"/>
  <c r="D37" i="2" s="1"/>
  <c r="F10" i="2"/>
  <c r="D36" i="2" s="1"/>
  <c r="D31" i="2"/>
  <c r="D34" i="2"/>
  <c r="A13" i="2"/>
  <c r="A11" i="2"/>
  <c r="A9" i="2"/>
  <c r="D33" i="2" l="1"/>
  <c r="D38" i="2"/>
  <c r="D35" i="2"/>
  <c r="D32" i="2"/>
  <c r="D39" i="2"/>
  <c r="D29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<sst xmlns="http://schemas.openxmlformats.org/spreadsheetml/2006/main" count="74" uniqueCount="23">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</sst>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42</c:v>
                </c:pt>
                <c:pt idx="1">
                  <c:v>37</c:v>
                </c:pt>
                <c:pt idx="2">
                  <c:v>20</c:v>
                </c:pt>
                <c:pt idx="3">
                  <c:v>46</c:v>
                </c:pt>
                <c:pt idx="4">
                  <c:v>39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9.1640475216824127E-2</c:v>
                </c:pt>
                <c:pt idx="1">
                  <c:v>0.11983200361599107</c:v>
                </c:pt>
                <c:pt idx="2">
                  <c:v>8.3745796243750087E-2</c:v>
                </c:pt>
                <c:pt idx="3">
                  <c:v>7.8157549936315934E-2</c:v>
                </c:pt>
                <c:pt idx="4">
                  <c:v>0.11381071939355258</c:v>
                </c:pt>
                <c:pt idx="5">
                  <c:v>9.2647131832560473E-2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0-4048-AF04-157142785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48</c:v>
                </c:pt>
                <c:pt idx="7">
                  <c:v>7</c:v>
                </c:pt>
                <c:pt idx="8">
                  <c:v>40</c:v>
                </c:pt>
                <c:pt idx="9">
                  <c:v>10</c:v>
                </c:pt>
                <c:pt idx="10">
                  <c:v>20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0.16666666666666666</c:v>
                </c:pt>
                <c:pt idx="1">
                  <c:v>0.83333333333333337</c:v>
                </c:pt>
                <c:pt idx="2">
                  <c:v>0.46153846153846156</c:v>
                </c:pt>
                <c:pt idx="3">
                  <c:v>0.53846153846153844</c:v>
                </c:pt>
                <c:pt idx="4">
                  <c:v>0.41176470588235292</c:v>
                </c:pt>
                <c:pt idx="5">
                  <c:v>0.58823529411764708</c:v>
                </c:pt>
                <c:pt idx="6">
                  <c:v>0.87272727272727268</c:v>
                </c:pt>
                <c:pt idx="7">
                  <c:v>0.12727272727272726</c:v>
                </c:pt>
                <c:pt idx="8">
                  <c:v>0.8</c:v>
                </c:pt>
                <c:pt idx="9">
                  <c:v>0.2</c:v>
                </c:pt>
                <c:pt idx="10">
                  <c:v>0.86956521739130432</c:v>
                </c:pt>
                <c:pt idx="11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09-492F-9B74-21889EE714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09-492F-9B74-21889EE714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09-492F-9B74-21889EE7148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709-492F-9B74-21889EE7148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709-492F-9B74-21889EE7148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709-492F-9B74-21889EE714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0.11355486837472838</c:v>
                </c:pt>
                <c:pt idx="1">
                  <c:v>7.9465812351321774E-2</c:v>
                </c:pt>
                <c:pt idx="2">
                  <c:v>0.17823988686981868</c:v>
                </c:pt>
                <c:pt idx="3">
                  <c:v>9.5120976085525541E-2</c:v>
                </c:pt>
                <c:pt idx="4">
                  <c:v>6.5508442175108844E-2</c:v>
                </c:pt>
                <c:pt idx="5">
                  <c:v>0.10198315031239136</c:v>
                </c:pt>
                <c:pt idx="6">
                  <c:v>0.11418086875603217</c:v>
                </c:pt>
                <c:pt idx="7">
                  <c:v>7.2754052113358503E-2</c:v>
                </c:pt>
                <c:pt idx="8">
                  <c:v>6.8581218278837675E-2</c:v>
                </c:pt>
                <c:pt idx="9">
                  <c:v>0.15677874545253181</c:v>
                </c:pt>
                <c:pt idx="10">
                  <c:v>0.10171072712052621</c:v>
                </c:pt>
                <c:pt idx="11">
                  <c:v>9.0884766082122675E-2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09-492F-9B74-21889EE714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6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E0-4C1C-BF58-A9E25B7369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5F4-4F96-B3FD-C10803B025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0.26243386243386241</c:v>
                </c:pt>
                <c:pt idx="1">
                  <c:v>9.67276069645919E-2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0-4C1C-BF58-A9E25B7369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9654192"/>
        <c:axId val="679641712"/>
      </c:barChart>
      <c:catAx>
        <c:axId val="67965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9641712"/>
        <c:crosses val="autoZero"/>
        <c:auto val="1"/>
        <c:lblAlgn val="ctr"/>
        <c:lblOffset val="100"/>
        <c:noMultiLvlLbl val="0"/>
      </c:catAx>
      <c:valAx>
        <c:axId val="679641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7965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8284</xdr:colOff>
      <xdr:row>21</xdr:row>
      <xdr:rowOff>182218</xdr:rowOff>
    </xdr:from>
    <xdr:to>
      <xdr:col>12</xdr:col>
      <xdr:colOff>332133</xdr:colOff>
      <xdr:row>40</xdr:row>
      <xdr:rowOff>77236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1682054-B682-4EB9-B007-A20478086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428625</xdr:colOff>
      <xdr:row>16</xdr:row>
      <xdr:rowOff>28575</xdr:rowOff>
    </xdr:from>
    <xdr:to>
      <xdr:col>28</xdr:col>
      <xdr:colOff>157163</xdr:colOff>
      <xdr:row>39</xdr:row>
      <xdr:rowOff>147638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B574B43-101E-4A6F-8F9B-5F6707F09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</xdr:colOff>
      <xdr:row>2</xdr:row>
      <xdr:rowOff>33336</xdr:rowOff>
    </xdr:from>
    <xdr:to>
      <xdr:col>20</xdr:col>
      <xdr:colOff>66675</xdr:colOff>
      <xdr:row>19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149316-B577-7D70-EF1B-3A57697D4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S%20-%20Social/S_full.xlsx" TargetMode="External"/><Relationship Id="rId2" Type="http://schemas.openxmlformats.org/officeDocument/2006/relationships/externalLinkPath" Target="file:///C:\Users\jsanchez\Downloads\TFM\FinGPT_Runpod\0.%20Vigeo%20Eiris\S%20-%20Social\S_full.xlsx" TargetMode="External"/><Relationship Id="rId1" Type="http://schemas.openxmlformats.org/officeDocument/2006/relationships/externalLinkPath" Target="/Users/jsanchez/Downloads/TFM/FinGPT_Runpod/0.%20Vigeo%20Eiris/S%20-%20Social/S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S%20-%20Social/S_religion.xlsx" TargetMode="External"/><Relationship Id="rId2" Type="http://schemas.openxmlformats.org/officeDocument/2006/relationships/externalLinkPath" Target="file:///C:\Users\javie\Desktop\TFM\LLM_bias\ESG_detect_bias\Vigeo%20Eiris%20(Moody's)\S%20-%20Social\S_religion.xlsx" TargetMode="External"/><Relationship Id="rId1" Type="http://schemas.openxmlformats.org/officeDocument/2006/relationships/externalLinkPath" Target="/Users/jsanchez/Downloads/TFM/FinGPT_Runpod/0.%20Vigeo%20Eiris/S%20-%20Social/S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S%20-%20Social/S_religion_gender.xlsx" TargetMode="External"/><Relationship Id="rId2" Type="http://schemas.openxmlformats.org/officeDocument/2006/relationships/externalLinkPath" Target="file:///C:\Users\jsanchez\Downloads\TFM%20Graficar\Graficar\Vigeo%20Eiris%20(Moody_s)\S%20-%20Social\S_religion_gender.xlsx" TargetMode="External"/><Relationship Id="rId1" Type="http://schemas.openxmlformats.org/officeDocument/2006/relationships/externalLinkPath" Target="/Users/jsanchez/Downloads/TFM/FinGPT_Runpod/0.%20Vigeo%20Eiris/S%20-%20Social/S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S%20-%20Social/S_gender.xlsx" TargetMode="External"/><Relationship Id="rId2" Type="http://schemas.openxmlformats.org/officeDocument/2006/relationships/externalLinkPath" Target="file:///C:\Users\jsanchez\Downloads\TFM%20Graficar\Graficar\Vigeo%20Eiris%20(Moody_s)\S%20-%20Social\S_gender.xlsx" TargetMode="External"/><Relationship Id="rId1" Type="http://schemas.openxmlformats.org/officeDocument/2006/relationships/externalLinkPath" Target="/Users/jsanchez/Downloads/TFM/FinGPT_Runpod/0.%20Vigeo%20Eiris/S%20-%20Social/S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S%20-%20Social/S_age_gender.xlsx" TargetMode="External"/><Relationship Id="rId2" Type="http://schemas.openxmlformats.org/officeDocument/2006/relationships/externalLinkPath" Target="file:///C:\Users\jsanchez\Downloads\TFM%20Graficar\Graficar\Vigeo%20Eiris%20(Moody_s)\S%20-%20Social\S_age_gender.xlsx" TargetMode="External"/><Relationship Id="rId1" Type="http://schemas.openxmlformats.org/officeDocument/2006/relationships/externalLinkPath" Target="/Users/jsanchez/Downloads/TFM/FinGPT_Runpod/0.%20Vigeo%20Eiris/S%20-%20Social/S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/FinGPT_Runpod/0.%20Vigeo%20Eiris/S%20-%20Social/S_age.xlsx" TargetMode="External"/><Relationship Id="rId1" Type="http://schemas.openxmlformats.org/officeDocument/2006/relationships/externalLinkPath" Target="/Users/jsanchez/Downloads/TFM/FinGPT_Runpod/0.%20Vigeo%20Eiris/S%20-%20Social/S_age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S%20-%20Social/S_age_religion.xlsx" TargetMode="External"/><Relationship Id="rId2" Type="http://schemas.openxmlformats.org/officeDocument/2006/relationships/externalLinkPath" Target="file:///C:\Users\javie\Desktop\TFM\LLM_bias\ESG_detect_bias\Vigeo%20Eiris%20(Moody's)\S%20-%20Social\S_age_religion.xlsx" TargetMode="External"/><Relationship Id="rId1" Type="http://schemas.openxmlformats.org/officeDocument/2006/relationships/externalLinkPath" Target="/Users/jsanchez/Downloads/TFM/FinGPT_Runpod/0.%20Vigeo%20Eiris/S%20-%20Social/S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43</v>
          </cell>
          <cell r="N5">
            <v>0.11984941005332735</v>
          </cell>
        </row>
        <row r="8">
          <cell r="H8">
            <v>6</v>
          </cell>
          <cell r="K8">
            <v>0.26243386243386241</v>
          </cell>
        </row>
        <row r="10">
          <cell r="H10">
            <v>37</v>
          </cell>
          <cell r="K10">
            <v>9.67276069645919E-2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42</v>
          </cell>
          <cell r="N5">
            <v>9.1640475216824127E-2</v>
          </cell>
        </row>
        <row r="8">
          <cell r="H8">
            <v>2</v>
          </cell>
          <cell r="K8">
            <v>0.11355486837472838</v>
          </cell>
        </row>
        <row r="10">
          <cell r="H10">
            <v>10</v>
          </cell>
          <cell r="K10">
            <v>7.9465812351321774E-2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37</v>
          </cell>
          <cell r="N5">
            <v>0.11983200361599107</v>
          </cell>
        </row>
        <row r="8">
          <cell r="H8">
            <v>6</v>
          </cell>
          <cell r="K8">
            <v>0.17823988686981868</v>
          </cell>
        </row>
        <row r="10">
          <cell r="H10">
            <v>7</v>
          </cell>
          <cell r="K10">
            <v>9.5120976085525541E-2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20</v>
          </cell>
          <cell r="N5">
            <v>8.3745796243750087E-2</v>
          </cell>
        </row>
        <row r="8">
          <cell r="H8">
            <v>7</v>
          </cell>
          <cell r="K8">
            <v>6.5508442175108844E-2</v>
          </cell>
        </row>
        <row r="10">
          <cell r="H10">
            <v>10</v>
          </cell>
          <cell r="K10">
            <v>0.10198315031239136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46</v>
          </cell>
          <cell r="N5">
            <v>7.8157549936315934E-2</v>
          </cell>
        </row>
        <row r="8">
          <cell r="H8">
            <v>48</v>
          </cell>
          <cell r="K8">
            <v>0.11418086875603217</v>
          </cell>
        </row>
        <row r="10">
          <cell r="H10">
            <v>7</v>
          </cell>
          <cell r="K10">
            <v>7.2754052113358503E-2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39</v>
          </cell>
          <cell r="N5">
            <v>0.11381071939355258</v>
          </cell>
        </row>
        <row r="8">
          <cell r="H8">
            <v>40</v>
          </cell>
          <cell r="K8">
            <v>6.8581218278837675E-2</v>
          </cell>
        </row>
        <row r="10">
          <cell r="H10">
            <v>10</v>
          </cell>
          <cell r="K10">
            <v>0.15677874545253181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43</v>
          </cell>
          <cell r="N5">
            <v>9.2647131832560473E-2</v>
          </cell>
        </row>
        <row r="8">
          <cell r="H8">
            <v>20</v>
          </cell>
          <cell r="K8">
            <v>0.10171072712052621</v>
          </cell>
        </row>
        <row r="10">
          <cell r="H10">
            <v>3</v>
          </cell>
          <cell r="K10">
            <v>9.0884766082122675E-2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8" zoomScale="115" zoomScaleNormal="115" workbookViewId="0">
      <selection activeCell="O27" sqref="O27"/>
    </sheetView>
  </sheetViews>
  <sheetFormatPr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[2]Sheet1!$H$5</f>
        <v>42</v>
      </c>
    </row>
    <row r="7" spans="14:15" x14ac:dyDescent="0.25">
      <c r="N7" t="s">
        <v>19</v>
      </c>
      <c r="O7">
        <f>[3]Sheet1!$H$5</f>
        <v>37</v>
      </c>
    </row>
    <row r="8" spans="14:15" x14ac:dyDescent="0.25">
      <c r="N8" t="s">
        <v>20</v>
      </c>
      <c r="O8">
        <f>[4]Sheet1!$H$5</f>
        <v>20</v>
      </c>
    </row>
    <row r="9" spans="14:15" x14ac:dyDescent="0.25">
      <c r="N9" t="s">
        <v>18</v>
      </c>
      <c r="O9">
        <f>[5]Sheet1!$H$5</f>
        <v>46</v>
      </c>
    </row>
    <row r="10" spans="14:15" x14ac:dyDescent="0.25">
      <c r="N10" t="s">
        <v>1</v>
      </c>
      <c r="O10">
        <f>[6]Sheet1!$H$5</f>
        <v>39</v>
      </c>
    </row>
    <row r="11" spans="14:15" x14ac:dyDescent="0.25">
      <c r="N11" t="s">
        <v>2</v>
      </c>
      <c r="O11">
        <f>[7]Sheet1!$H$5</f>
        <v>43</v>
      </c>
    </row>
    <row r="27" spans="14:15" x14ac:dyDescent="0.25">
      <c r="N27" t="s">
        <v>0</v>
      </c>
      <c r="O27" s="1">
        <f>'Vigeo Individual'!T3</f>
        <v>9.1640475216824127E-2</v>
      </c>
    </row>
    <row r="28" spans="14:15" x14ac:dyDescent="0.25">
      <c r="N28" t="s">
        <v>19</v>
      </c>
      <c r="O28" s="1">
        <f>'Vigeo Individual'!T5</f>
        <v>0.11983200361599107</v>
      </c>
    </row>
    <row r="29" spans="14:15" x14ac:dyDescent="0.25">
      <c r="N29" t="s">
        <v>20</v>
      </c>
      <c r="O29" s="1">
        <f>'Vigeo Individual'!T7</f>
        <v>8.3745796243750087E-2</v>
      </c>
    </row>
    <row r="30" spans="14:15" x14ac:dyDescent="0.25">
      <c r="N30" t="s">
        <v>18</v>
      </c>
      <c r="O30" s="1">
        <f>'Vigeo Individual'!T9</f>
        <v>7.8157549936315934E-2</v>
      </c>
    </row>
    <row r="31" spans="14:15" x14ac:dyDescent="0.25">
      <c r="N31" t="s">
        <v>1</v>
      </c>
      <c r="O31" s="1">
        <f>'Vigeo Individual'!T11</f>
        <v>0.11381071939355258</v>
      </c>
    </row>
    <row r="32" spans="14:15" x14ac:dyDescent="0.25">
      <c r="N32" t="s">
        <v>2</v>
      </c>
      <c r="O32" s="1">
        <f>'Vigeo Individual'!T13</f>
        <v>9.2647131832560473E-2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AA10" sqref="AA10"/>
    </sheetView>
  </sheetViews>
  <sheetFormatPr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42</v>
      </c>
      <c r="B3" t="s">
        <v>0</v>
      </c>
      <c r="C3" t="s">
        <v>4</v>
      </c>
      <c r="D3">
        <f>[2]Sheet1!$H$8</f>
        <v>2</v>
      </c>
      <c r="T3" s="2">
        <f>[2]Sheet1!$N$5</f>
        <v>9.1640475216824127E-2</v>
      </c>
      <c r="U3" t="s">
        <v>0</v>
      </c>
      <c r="V3" t="s">
        <v>4</v>
      </c>
      <c r="W3" s="2">
        <f>[2]Sheet1!$K$8</f>
        <v>0.11355486837472838</v>
      </c>
    </row>
    <row r="4" spans="1:23" x14ac:dyDescent="0.25">
      <c r="C4" t="s">
        <v>3</v>
      </c>
      <c r="D4">
        <f>[2]Sheet1!$H$10</f>
        <v>10</v>
      </c>
      <c r="F4">
        <f>SUM(D3:D4)</f>
        <v>12</v>
      </c>
      <c r="T4" s="2"/>
      <c r="V4" t="s">
        <v>3</v>
      </c>
      <c r="W4" s="2">
        <f>[2]Sheet1!$K$10</f>
        <v>7.9465812351321774E-2</v>
      </c>
    </row>
    <row r="5" spans="1:23" x14ac:dyDescent="0.25">
      <c r="A5">
        <f>'Vigeo Araña'!O7</f>
        <v>37</v>
      </c>
      <c r="B5" t="s">
        <v>19</v>
      </c>
      <c r="C5" t="s">
        <v>6</v>
      </c>
      <c r="D5">
        <f>[3]Sheet1!$H$8</f>
        <v>6</v>
      </c>
      <c r="T5" s="2">
        <f>[3]Sheet1!$N$5</f>
        <v>0.11983200361599107</v>
      </c>
      <c r="U5" t="s">
        <v>19</v>
      </c>
      <c r="V5" t="s">
        <v>6</v>
      </c>
      <c r="W5" s="2">
        <f>[3]Sheet1!$K$8</f>
        <v>0.17823988686981868</v>
      </c>
    </row>
    <row r="6" spans="1:23" x14ac:dyDescent="0.25">
      <c r="C6" t="s">
        <v>5</v>
      </c>
      <c r="D6">
        <f>[3]Sheet1!$H$10</f>
        <v>7</v>
      </c>
      <c r="F6">
        <f>SUM(D5:D6)</f>
        <v>13</v>
      </c>
      <c r="T6" s="2"/>
      <c r="V6" t="s">
        <v>5</v>
      </c>
      <c r="W6" s="2">
        <f>[3]Sheet1!$K$10</f>
        <v>9.5120976085525541E-2</v>
      </c>
    </row>
    <row r="7" spans="1:23" x14ac:dyDescent="0.25">
      <c r="A7">
        <f>'Vigeo Araña'!O8</f>
        <v>20</v>
      </c>
      <c r="B7" t="s">
        <v>20</v>
      </c>
      <c r="C7" t="s">
        <v>7</v>
      </c>
      <c r="D7">
        <f>[4]Sheet1!$H$8</f>
        <v>7</v>
      </c>
      <c r="T7" s="2">
        <f>[4]Sheet1!$N$5</f>
        <v>8.3745796243750087E-2</v>
      </c>
      <c r="U7" t="s">
        <v>20</v>
      </c>
      <c r="V7" t="s">
        <v>7</v>
      </c>
      <c r="W7" s="2">
        <f>[4]Sheet1!$K$8</f>
        <v>6.5508442175108844E-2</v>
      </c>
    </row>
    <row r="8" spans="1:23" x14ac:dyDescent="0.25">
      <c r="C8" t="s">
        <v>8</v>
      </c>
      <c r="D8">
        <f>[4]Sheet1!$H$10</f>
        <v>10</v>
      </c>
      <c r="F8">
        <f>SUM(D7:D8)</f>
        <v>17</v>
      </c>
      <c r="T8" s="2"/>
      <c r="V8" t="s">
        <v>8</v>
      </c>
      <c r="W8" s="2">
        <f>[4]Sheet1!$K$10</f>
        <v>0.10198315031239136</v>
      </c>
    </row>
    <row r="9" spans="1:23" x14ac:dyDescent="0.25">
      <c r="A9">
        <f>'Vigeo Araña'!O9</f>
        <v>46</v>
      </c>
      <c r="B9" t="s">
        <v>18</v>
      </c>
      <c r="C9" t="s">
        <v>9</v>
      </c>
      <c r="D9">
        <f>[5]Sheet1!$H$8</f>
        <v>48</v>
      </c>
      <c r="T9" s="2">
        <f>[5]Sheet1!$N$5</f>
        <v>7.8157549936315934E-2</v>
      </c>
      <c r="U9" t="s">
        <v>18</v>
      </c>
      <c r="V9" t="s">
        <v>9</v>
      </c>
      <c r="W9" s="2">
        <f>[5]Sheet1!$K$8</f>
        <v>0.11418086875603217</v>
      </c>
    </row>
    <row r="10" spans="1:23" x14ac:dyDescent="0.25">
      <c r="C10" t="s">
        <v>10</v>
      </c>
      <c r="D10">
        <f>[5]Sheet1!$H$10</f>
        <v>7</v>
      </c>
      <c r="F10">
        <f t="shared" ref="F10" si="0">SUM(D9:D10)</f>
        <v>55</v>
      </c>
      <c r="T10" s="2"/>
      <c r="V10" t="s">
        <v>10</v>
      </c>
      <c r="W10" s="2">
        <f>[5]Sheet1!$K$10</f>
        <v>7.2754052113358503E-2</v>
      </c>
    </row>
    <row r="11" spans="1:23" x14ac:dyDescent="0.25">
      <c r="A11">
        <f>'Vigeo Araña'!O10</f>
        <v>39</v>
      </c>
      <c r="B11" t="s">
        <v>1</v>
      </c>
      <c r="C11" t="s">
        <v>11</v>
      </c>
      <c r="D11">
        <f>[6]Sheet1!$H$8</f>
        <v>40</v>
      </c>
      <c r="T11" s="2">
        <f>[6]Sheet1!$N$5</f>
        <v>0.11381071939355258</v>
      </c>
      <c r="U11" t="s">
        <v>1</v>
      </c>
      <c r="V11" t="s">
        <v>11</v>
      </c>
      <c r="W11" s="2">
        <f>[6]Sheet1!$K$8</f>
        <v>6.8581218278837675E-2</v>
      </c>
    </row>
    <row r="12" spans="1:23" x14ac:dyDescent="0.25">
      <c r="C12" t="s">
        <v>12</v>
      </c>
      <c r="D12">
        <f>[6]Sheet1!$H$10</f>
        <v>10</v>
      </c>
      <c r="F12">
        <f t="shared" ref="F12" si="1">SUM(D11:D12)</f>
        <v>50</v>
      </c>
      <c r="T12" s="2"/>
      <c r="V12" t="s">
        <v>12</v>
      </c>
      <c r="W12" s="2">
        <f>[6]Sheet1!$K$10</f>
        <v>0.15677874545253181</v>
      </c>
    </row>
    <row r="13" spans="1:23" x14ac:dyDescent="0.25">
      <c r="A13">
        <f>'Vigeo Araña'!O11</f>
        <v>43</v>
      </c>
      <c r="B13" t="s">
        <v>2</v>
      </c>
      <c r="C13" t="s">
        <v>13</v>
      </c>
      <c r="D13">
        <f>[7]Sheet1!$H$8</f>
        <v>20</v>
      </c>
      <c r="T13" s="2">
        <f>[7]Sheet1!$N$5</f>
        <v>9.2647131832560473E-2</v>
      </c>
      <c r="U13" t="s">
        <v>2</v>
      </c>
      <c r="V13" t="s">
        <v>13</v>
      </c>
      <c r="W13" s="2">
        <f>[7]Sheet1!$K$8</f>
        <v>0.10171072712052621</v>
      </c>
    </row>
    <row r="14" spans="1:23" x14ac:dyDescent="0.25">
      <c r="C14" t="s">
        <v>14</v>
      </c>
      <c r="D14">
        <f>[7]Sheet1!$H$10</f>
        <v>3</v>
      </c>
      <c r="F14">
        <f t="shared" ref="F14" si="2">SUM(D13:D14)</f>
        <v>23</v>
      </c>
      <c r="T14" s="2"/>
      <c r="V14" t="s">
        <v>14</v>
      </c>
      <c r="W14" s="2">
        <f>[7]Sheet1!$K$10</f>
        <v>9.0884766082122675E-2</v>
      </c>
    </row>
    <row r="29" spans="2:4" x14ac:dyDescent="0.25">
      <c r="B29" t="s">
        <v>0</v>
      </c>
      <c r="C29" t="s">
        <v>4</v>
      </c>
      <c r="D29" s="1">
        <f>D3/$F$4</f>
        <v>0.16666666666666666</v>
      </c>
    </row>
    <row r="30" spans="2:4" x14ac:dyDescent="0.25">
      <c r="C30" t="s">
        <v>3</v>
      </c>
      <c r="D30" s="1">
        <f t="shared" ref="D30" si="3">D4/$F$4</f>
        <v>0.83333333333333337</v>
      </c>
    </row>
    <row r="31" spans="2:4" x14ac:dyDescent="0.25">
      <c r="B31" t="s">
        <v>19</v>
      </c>
      <c r="C31" t="s">
        <v>6</v>
      </c>
      <c r="D31" s="1">
        <f>D5/$F$6</f>
        <v>0.46153846153846156</v>
      </c>
    </row>
    <row r="32" spans="2:4" x14ac:dyDescent="0.25">
      <c r="C32" t="s">
        <v>5</v>
      </c>
      <c r="D32" s="1">
        <f>D6/$F$6</f>
        <v>0.53846153846153844</v>
      </c>
    </row>
    <row r="33" spans="2:4" x14ac:dyDescent="0.25">
      <c r="B33" t="s">
        <v>20</v>
      </c>
      <c r="C33" t="s">
        <v>7</v>
      </c>
      <c r="D33" s="1">
        <f>D7/$F$8</f>
        <v>0.41176470588235292</v>
      </c>
    </row>
    <row r="34" spans="2:4" x14ac:dyDescent="0.25">
      <c r="C34" t="s">
        <v>8</v>
      </c>
      <c r="D34" s="1">
        <f>D8/$F$8</f>
        <v>0.58823529411764708</v>
      </c>
    </row>
    <row r="35" spans="2:4" x14ac:dyDescent="0.25">
      <c r="B35" t="s">
        <v>18</v>
      </c>
      <c r="C35" t="s">
        <v>9</v>
      </c>
      <c r="D35" s="1">
        <f>D9/$F$10</f>
        <v>0.87272727272727268</v>
      </c>
    </row>
    <row r="36" spans="2:4" x14ac:dyDescent="0.25">
      <c r="C36" t="s">
        <v>10</v>
      </c>
      <c r="D36" s="1">
        <f>D10/$F$10</f>
        <v>0.12727272727272726</v>
      </c>
    </row>
    <row r="37" spans="2:4" x14ac:dyDescent="0.25">
      <c r="B37" t="s">
        <v>1</v>
      </c>
      <c r="C37" t="s">
        <v>11</v>
      </c>
      <c r="D37" s="1">
        <f>D11/$F$12</f>
        <v>0.8</v>
      </c>
    </row>
    <row r="38" spans="2:4" x14ac:dyDescent="0.25">
      <c r="C38" t="s">
        <v>12</v>
      </c>
      <c r="D38" s="1">
        <f>D12/$F$12</f>
        <v>0.2</v>
      </c>
    </row>
    <row r="39" spans="2:4" x14ac:dyDescent="0.25">
      <c r="B39" t="s">
        <v>2</v>
      </c>
      <c r="C39" t="s">
        <v>13</v>
      </c>
      <c r="D39" s="1">
        <f>D13/$F$14</f>
        <v>0.86956521739130432</v>
      </c>
    </row>
    <row r="40" spans="2:4" x14ac:dyDescent="0.25">
      <c r="C40" t="s">
        <v>14</v>
      </c>
      <c r="D40" s="1">
        <f>D14/$F$14</f>
        <v>0.13043478260869565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tabSelected="1" workbookViewId="0">
      <selection activeCell="P28" sqref="P28"/>
    </sheetView>
  </sheetViews>
  <sheetFormatPr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43</v>
      </c>
    </row>
    <row r="4" spans="2:3" x14ac:dyDescent="0.25">
      <c r="B4" t="s">
        <v>15</v>
      </c>
      <c r="C4">
        <f>[1]Sheet1!$H$8</f>
        <v>6</v>
      </c>
    </row>
    <row r="5" spans="2:3" x14ac:dyDescent="0.25">
      <c r="B5" t="s">
        <v>16</v>
      </c>
      <c r="C5">
        <f>[1]Sheet1!$H$10</f>
        <v>37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[1]Sheet1!$N$5</f>
        <v>0.11984941005332735</v>
      </c>
    </row>
    <row r="12" spans="2:3" x14ac:dyDescent="0.25">
      <c r="B12" t="s">
        <v>15</v>
      </c>
      <c r="C12" s="2">
        <f>[1]Sheet1!$K$8</f>
        <v>0.26243386243386241</v>
      </c>
    </row>
    <row r="13" spans="2:3" x14ac:dyDescent="0.25">
      <c r="B13" t="s">
        <v>16</v>
      </c>
      <c r="C13" s="2">
        <f>[1]Sheet1!$K$10</f>
        <v>9.67276069645919E-2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2026-04-29T16:01:50Z</dcterms:modified>
</cp:coreProperties>
</file>