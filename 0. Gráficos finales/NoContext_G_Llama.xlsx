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G -Governance\"/>
    </mc:Choice>
  </mc:AlternateContent>
  <xr:revisionPtr revIDLastSave="0" documentId="13_ncr:1_{C9D0E468-5E95-4291-9748-18949D084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O31" i="1"/>
  <c r="O30" i="1"/>
  <c r="O29" i="1"/>
  <c r="O28" i="1"/>
  <c r="O27" i="1"/>
  <c r="W13" i="2"/>
  <c r="W12" i="2"/>
  <c r="W11" i="2"/>
  <c r="W10" i="2"/>
  <c r="W9" i="2"/>
  <c r="W8" i="2"/>
  <c r="W7" i="2"/>
  <c r="W6" i="2"/>
  <c r="W5" i="2"/>
  <c r="W4" i="2"/>
  <c r="W3" i="2"/>
  <c r="W2" i="2"/>
  <c r="T12" i="2"/>
  <c r="T10" i="2"/>
  <c r="T8" i="2"/>
  <c r="T6" i="2"/>
  <c r="T4" i="2"/>
  <c r="T2" i="2" l="1"/>
  <c r="C13" i="3" l="1"/>
  <c r="C12" i="3"/>
  <c r="C11" i="3"/>
  <c r="C5" i="3"/>
  <c r="C4" i="3"/>
  <c r="C3" i="3"/>
  <c r="D14" i="2"/>
  <c r="D13" i="2"/>
  <c r="D12" i="2"/>
  <c r="D11" i="2"/>
  <c r="D10" i="2"/>
  <c r="D9" i="2"/>
  <c r="D8" i="2"/>
  <c r="D7" i="2"/>
  <c r="D6" i="2"/>
  <c r="D5" i="2"/>
  <c r="D4" i="2"/>
  <c r="D3" i="2"/>
  <c r="O11" i="1" l="1"/>
  <c r="O10" i="1"/>
  <c r="O9" i="1"/>
  <c r="O8" i="1"/>
  <c r="O7" i="1"/>
  <c r="O6" i="1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<sst xmlns="http://schemas.openxmlformats.org/spreadsheetml/2006/main" count="74" uniqueCount="23">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</sst>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64" fontId="0" fillId="0" borderId="0" xfId="1" applyNumberFormat="1" applyFont="1"/>
    <xf numFmtId="9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20</c:v>
                </c:pt>
                <c:pt idx="1">
                  <c:v>33</c:v>
                </c:pt>
                <c:pt idx="2">
                  <c:v>4</c:v>
                </c:pt>
                <c:pt idx="3">
                  <c:v>143</c:v>
                </c:pt>
                <c:pt idx="4">
                  <c:v>164</c:v>
                </c:pt>
                <c:pt idx="5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Araña'!$O$27:$O$32</c:f>
              <c:numCache>
                <c:formatCode>0%</c:formatCode>
                <c:ptCount val="6"/>
                <c:pt idx="0">
                  <c:v>0.61737572772055538</c:v>
                </c:pt>
                <c:pt idx="1">
                  <c:v>0.46326244889818907</c:v>
                </c:pt>
                <c:pt idx="2">
                  <c:v>0.68295019157088122</c:v>
                </c:pt>
                <c:pt idx="3">
                  <c:v>0.66634575402359542</c:v>
                </c:pt>
                <c:pt idx="4">
                  <c:v>0.69259991480344874</c:v>
                </c:pt>
                <c:pt idx="5">
                  <c:v>0.68233647751858872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D29-B9A2-3986E700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19</c:v>
                </c:pt>
                <c:pt idx="1">
                  <c:v>1</c:v>
                </c:pt>
                <c:pt idx="2">
                  <c:v>26</c:v>
                </c:pt>
                <c:pt idx="3">
                  <c:v>7</c:v>
                </c:pt>
                <c:pt idx="4">
                  <c:v>2</c:v>
                </c:pt>
                <c:pt idx="5">
                  <c:v>2</c:v>
                </c:pt>
                <c:pt idx="6">
                  <c:v>129</c:v>
                </c:pt>
                <c:pt idx="7">
                  <c:v>14</c:v>
                </c:pt>
                <c:pt idx="8">
                  <c:v>151</c:v>
                </c:pt>
                <c:pt idx="9">
                  <c:v>13</c:v>
                </c:pt>
                <c:pt idx="10">
                  <c:v>152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Individual'!$D$29:$D$40</c:f>
              <c:numCache>
                <c:formatCode>0%</c:formatCode>
                <c:ptCount val="12"/>
                <c:pt idx="0">
                  <c:v>0.95</c:v>
                </c:pt>
                <c:pt idx="1">
                  <c:v>0.05</c:v>
                </c:pt>
                <c:pt idx="2">
                  <c:v>0.78787878787878785</c:v>
                </c:pt>
                <c:pt idx="3">
                  <c:v>0.21212121212121213</c:v>
                </c:pt>
                <c:pt idx="4">
                  <c:v>0.5</c:v>
                </c:pt>
                <c:pt idx="5">
                  <c:v>0.5</c:v>
                </c:pt>
                <c:pt idx="6">
                  <c:v>0.90209790209790208</c:v>
                </c:pt>
                <c:pt idx="7">
                  <c:v>9.7902097902097904E-2</c:v>
                </c:pt>
                <c:pt idx="8">
                  <c:v>0.92073170731707321</c:v>
                </c:pt>
                <c:pt idx="9">
                  <c:v>7.926829268292683E-2</c:v>
                </c:pt>
                <c:pt idx="10">
                  <c:v>0.92121212121212126</c:v>
                </c:pt>
                <c:pt idx="11">
                  <c:v>7.8787878787878782E-2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9-426B-904C-35E266E543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9-426B-904C-35E266E543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9-426B-904C-35E266E543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9-426B-904C-35E266E543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9-426B-904C-35E266E543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Individual'!$U$2:$V$13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Individual'!$W$2:$W$13</c:f>
              <c:numCache>
                <c:formatCode>0.0%</c:formatCode>
                <c:ptCount val="12"/>
                <c:pt idx="0">
                  <c:v>0.60475640511938156</c:v>
                </c:pt>
                <c:pt idx="1">
                  <c:v>0.8571428571428571</c:v>
                </c:pt>
                <c:pt idx="2">
                  <c:v>0.45491060663474464</c:v>
                </c:pt>
                <c:pt idx="3">
                  <c:v>0.49428357730526756</c:v>
                </c:pt>
                <c:pt idx="4">
                  <c:v>0.36590038314176243</c:v>
                </c:pt>
                <c:pt idx="5">
                  <c:v>1</c:v>
                </c:pt>
                <c:pt idx="6">
                  <c:v>0.69900332225913775</c:v>
                </c:pt>
                <c:pt idx="7">
                  <c:v>0.36542958956752053</c:v>
                </c:pt>
                <c:pt idx="8">
                  <c:v>0.71210114388922474</c:v>
                </c:pt>
                <c:pt idx="9">
                  <c:v>0.46608563849943158</c:v>
                </c:pt>
                <c:pt idx="10">
                  <c:v>0.7162581123439562</c:v>
                </c:pt>
                <c:pt idx="11">
                  <c:v>0.28571428571428564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A9-426B-904C-35E266E543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148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Deviation for each Bias without using Vigeo Eiris</a:t>
            </a:r>
            <a:endParaRPr lang="es-E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0-446A-9FD0-0BDE904D1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Full'!$C$12:$C$13</c:f>
              <c:numCache>
                <c:formatCode>0.0%</c:formatCode>
                <c:ptCount val="2"/>
                <c:pt idx="0">
                  <c:v>0.73714629640687457</c:v>
                </c:pt>
                <c:pt idx="1">
                  <c:v>0.28571428571428564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46A-9FD0-0BDE904D1C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5988367"/>
        <c:axId val="935990287"/>
      </c:barChart>
      <c:catAx>
        <c:axId val="9359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5990287"/>
        <c:crosses val="autoZero"/>
        <c:auto val="1"/>
        <c:lblAlgn val="ctr"/>
        <c:lblOffset val="100"/>
        <c:noMultiLvlLbl val="0"/>
      </c:catAx>
      <c:valAx>
        <c:axId val="93599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93598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488675</xdr:colOff>
      <xdr:row>22</xdr:row>
      <xdr:rowOff>91109</xdr:rowOff>
    </xdr:from>
    <xdr:to>
      <xdr:col>12</xdr:col>
      <xdr:colOff>199611</xdr:colOff>
      <xdr:row>40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B64021B-FC35-433F-A33D-B6F5EA8A7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352425</xdr:colOff>
      <xdr:row>14</xdr:row>
      <xdr:rowOff>76200</xdr:rowOff>
    </xdr:from>
    <xdr:to>
      <xdr:col>28</xdr:col>
      <xdr:colOff>80963</xdr:colOff>
      <xdr:row>38</xdr:row>
      <xdr:rowOff>4763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93CE97-2324-4714-9211-B8FFA19A5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</xdr:row>
      <xdr:rowOff>4762</xdr:rowOff>
    </xdr:from>
    <xdr:to>
      <xdr:col>18</xdr:col>
      <xdr:colOff>571500</xdr:colOff>
      <xdr:row>19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B0230-1B16-2C1F-80EB-8E63D791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G%20-Governance\G_religion.xlsx" TargetMode="External"/><Relationship Id="rId1" Type="http://schemas.openxmlformats.org/officeDocument/2006/relationships/externalLinkPath" Target="G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G%20-Governance\G_religion_gender.xlsx" TargetMode="External"/><Relationship Id="rId1" Type="http://schemas.openxmlformats.org/officeDocument/2006/relationships/externalLinkPath" Target="G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G%20-Governance\G_gender.xlsx" TargetMode="External"/><Relationship Id="rId1" Type="http://schemas.openxmlformats.org/officeDocument/2006/relationships/externalLinkPath" Target="G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G%20-Governance\G_age_gender.xlsx" TargetMode="External"/><Relationship Id="rId1" Type="http://schemas.openxmlformats.org/officeDocument/2006/relationships/externalLinkPath" Target="G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G%20-Governance\G_age.xlsx" TargetMode="External"/><Relationship Id="rId1" Type="http://schemas.openxmlformats.org/officeDocument/2006/relationships/externalLinkPath" Target="G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G%20-Governance\G_age_religion.xlsx" TargetMode="External"/><Relationship Id="rId1" Type="http://schemas.openxmlformats.org/officeDocument/2006/relationships/externalLinkPath" Target="G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G%20-Governance\G_full.xlsx" TargetMode="External"/><Relationship Id="rId1" Type="http://schemas.openxmlformats.org/officeDocument/2006/relationships/externalLinkPath" Target="G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20</v>
          </cell>
          <cell r="N5">
            <v>0.61737572772055538</v>
          </cell>
        </row>
        <row r="8">
          <cell r="H8">
            <v>19</v>
          </cell>
          <cell r="K8">
            <v>0.60475640511938156</v>
          </cell>
        </row>
        <row r="10">
          <cell r="H10">
            <v>1</v>
          </cell>
          <cell r="K10">
            <v>0.8571428571428571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33</v>
          </cell>
          <cell r="N5">
            <v>0.46326244889818907</v>
          </cell>
        </row>
        <row r="8">
          <cell r="H8">
            <v>26</v>
          </cell>
          <cell r="K8">
            <v>0.45491060663474464</v>
          </cell>
        </row>
        <row r="10">
          <cell r="H10">
            <v>7</v>
          </cell>
          <cell r="K10">
            <v>0.49428357730526756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4</v>
          </cell>
          <cell r="N5">
            <v>0.68295019157088122</v>
          </cell>
        </row>
        <row r="8">
          <cell r="H8">
            <v>2</v>
          </cell>
          <cell r="K8">
            <v>0.36590038314176243</v>
          </cell>
        </row>
        <row r="10">
          <cell r="H10">
            <v>2</v>
          </cell>
          <cell r="K10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143</v>
          </cell>
          <cell r="N5">
            <v>0.66634575402359542</v>
          </cell>
        </row>
        <row r="8">
          <cell r="H8">
            <v>129</v>
          </cell>
          <cell r="K8">
            <v>0.69900332225913775</v>
          </cell>
        </row>
        <row r="10">
          <cell r="H10">
            <v>14</v>
          </cell>
          <cell r="K10">
            <v>0.36542958956752053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164</v>
          </cell>
          <cell r="N5">
            <v>0.69259991480344874</v>
          </cell>
        </row>
        <row r="8">
          <cell r="H8">
            <v>151</v>
          </cell>
          <cell r="K8">
            <v>0.71210114388922474</v>
          </cell>
        </row>
        <row r="10">
          <cell r="H10">
            <v>13</v>
          </cell>
          <cell r="K10">
            <v>0.46608563849943158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165</v>
          </cell>
          <cell r="N5">
            <v>0.68233647751858872</v>
          </cell>
        </row>
        <row r="8">
          <cell r="H8">
            <v>152</v>
          </cell>
          <cell r="K8">
            <v>0.7162581123439562</v>
          </cell>
        </row>
        <row r="10">
          <cell r="H10">
            <v>13</v>
          </cell>
          <cell r="K10">
            <v>0.28571428571428564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157</v>
          </cell>
          <cell r="N5">
            <v>0.7112680282780004</v>
          </cell>
        </row>
        <row r="8">
          <cell r="H8">
            <v>148</v>
          </cell>
          <cell r="K8">
            <v>0.73714629640687457</v>
          </cell>
        </row>
        <row r="10">
          <cell r="H10">
            <v>9</v>
          </cell>
          <cell r="K10">
            <v>0.28571428571428564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abSelected="1" topLeftCell="A13" zoomScale="115" zoomScaleNormal="115" workbookViewId="0">
      <selection activeCell="P23" sqref="P23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20</v>
      </c>
    </row>
    <row r="7" spans="14:15" x14ac:dyDescent="0.25">
      <c r="N7" t="s">
        <v>19</v>
      </c>
      <c r="O7">
        <f>[2]Sheet1!$H$5</f>
        <v>33</v>
      </c>
    </row>
    <row r="8" spans="14:15" x14ac:dyDescent="0.25">
      <c r="N8" t="s">
        <v>20</v>
      </c>
      <c r="O8">
        <f>[3]Sheet1!$H$5</f>
        <v>4</v>
      </c>
    </row>
    <row r="9" spans="14:15" x14ac:dyDescent="0.25">
      <c r="N9" t="s">
        <v>18</v>
      </c>
      <c r="O9">
        <f>[4]Sheet1!$H$5</f>
        <v>143</v>
      </c>
    </row>
    <row r="10" spans="14:15" x14ac:dyDescent="0.25">
      <c r="N10" t="s">
        <v>1</v>
      </c>
      <c r="O10">
        <f>[5]Sheet1!$H$5</f>
        <v>164</v>
      </c>
    </row>
    <row r="11" spans="14:15" x14ac:dyDescent="0.25">
      <c r="N11" t="s">
        <v>2</v>
      </c>
      <c r="O11">
        <f>[6]Sheet1!$H$5</f>
        <v>165</v>
      </c>
    </row>
    <row r="27" spans="14:15" x14ac:dyDescent="0.25">
      <c r="N27" t="s">
        <v>0</v>
      </c>
      <c r="O27" s="3">
        <f>'NoContext Individual'!T2</f>
        <v>0.61737572772055538</v>
      </c>
    </row>
    <row r="28" spans="14:15" x14ac:dyDescent="0.25">
      <c r="N28" t="s">
        <v>19</v>
      </c>
      <c r="O28" s="3">
        <f>'NoContext Individual'!T4</f>
        <v>0.46326244889818907</v>
      </c>
    </row>
    <row r="29" spans="14:15" x14ac:dyDescent="0.25">
      <c r="N29" t="s">
        <v>20</v>
      </c>
      <c r="O29" s="3">
        <f>'NoContext Individual'!T6</f>
        <v>0.68295019157088122</v>
      </c>
    </row>
    <row r="30" spans="14:15" x14ac:dyDescent="0.25">
      <c r="N30" t="s">
        <v>18</v>
      </c>
      <c r="O30" s="3">
        <f>'NoContext Individual'!T8</f>
        <v>0.66634575402359542</v>
      </c>
    </row>
    <row r="31" spans="14:15" x14ac:dyDescent="0.25">
      <c r="N31" t="s">
        <v>1</v>
      </c>
      <c r="O31" s="3">
        <f>'NoContext Individual'!T10</f>
        <v>0.69259991480344874</v>
      </c>
    </row>
    <row r="32" spans="14:15" x14ac:dyDescent="0.25">
      <c r="N32" t="s">
        <v>2</v>
      </c>
      <c r="O32" s="3">
        <f>'NoContext Individual'!T12</f>
        <v>0.68233647751858872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2:W40"/>
  <sheetViews>
    <sheetView zoomScale="85" zoomScaleNormal="85" workbookViewId="0">
      <selection activeCell="T2" sqref="T2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2" spans="1:23" x14ac:dyDescent="0.25">
      <c r="T2" s="2">
        <f>[1]Sheet1!$N$5</f>
        <v>0.61737572772055538</v>
      </c>
      <c r="U2" t="s">
        <v>0</v>
      </c>
      <c r="V2" t="s">
        <v>4</v>
      </c>
      <c r="W2" s="2">
        <f>[1]Sheet1!$K$8</f>
        <v>0.60475640511938156</v>
      </c>
    </row>
    <row r="3" spans="1:23" x14ac:dyDescent="0.25">
      <c r="A3">
        <f>'NoContext Araña'!O6</f>
        <v>20</v>
      </c>
      <c r="B3" t="s">
        <v>0</v>
      </c>
      <c r="C3" t="s">
        <v>4</v>
      </c>
      <c r="D3">
        <f>[1]Sheet1!$H$8</f>
        <v>19</v>
      </c>
      <c r="T3" s="2"/>
      <c r="V3" t="s">
        <v>3</v>
      </c>
      <c r="W3" s="2">
        <f>[1]Sheet1!$K$10</f>
        <v>0.8571428571428571</v>
      </c>
    </row>
    <row r="4" spans="1:23" x14ac:dyDescent="0.25">
      <c r="C4" t="s">
        <v>3</v>
      </c>
      <c r="D4">
        <f>[1]Sheet1!$H$10</f>
        <v>1</v>
      </c>
      <c r="F4">
        <f>SUM(D3:D4)</f>
        <v>20</v>
      </c>
      <c r="T4" s="2">
        <f>[2]Sheet1!$N$5</f>
        <v>0.46326244889818907</v>
      </c>
      <c r="U4" t="s">
        <v>19</v>
      </c>
      <c r="V4" t="s">
        <v>6</v>
      </c>
      <c r="W4" s="2">
        <f>[2]Sheet1!$K$8</f>
        <v>0.45491060663474464</v>
      </c>
    </row>
    <row r="5" spans="1:23" x14ac:dyDescent="0.25">
      <c r="A5">
        <f>'NoContext Araña'!O7</f>
        <v>33</v>
      </c>
      <c r="B5" t="s">
        <v>19</v>
      </c>
      <c r="C5" t="s">
        <v>6</v>
      </c>
      <c r="D5">
        <f>[2]Sheet1!$H$8</f>
        <v>26</v>
      </c>
      <c r="T5" s="2"/>
      <c r="V5" t="s">
        <v>5</v>
      </c>
      <c r="W5" s="2">
        <f>[2]Sheet1!$K$10</f>
        <v>0.49428357730526756</v>
      </c>
    </row>
    <row r="6" spans="1:23" x14ac:dyDescent="0.25">
      <c r="C6" t="s">
        <v>5</v>
      </c>
      <c r="D6">
        <f>[2]Sheet1!$H$10</f>
        <v>7</v>
      </c>
      <c r="F6">
        <f>SUM(D5:D6)</f>
        <v>33</v>
      </c>
      <c r="T6" s="2">
        <f>[3]Sheet1!$N$5</f>
        <v>0.68295019157088122</v>
      </c>
      <c r="U6" t="s">
        <v>20</v>
      </c>
      <c r="V6" t="s">
        <v>7</v>
      </c>
      <c r="W6" s="2">
        <f>[3]Sheet1!$K$8</f>
        <v>0.36590038314176243</v>
      </c>
    </row>
    <row r="7" spans="1:23" x14ac:dyDescent="0.25">
      <c r="A7">
        <f>'NoContext Araña'!O8</f>
        <v>4</v>
      </c>
      <c r="B7" t="s">
        <v>20</v>
      </c>
      <c r="C7" t="s">
        <v>7</v>
      </c>
      <c r="D7">
        <f>[3]Sheet1!$H$8</f>
        <v>2</v>
      </c>
      <c r="T7" s="2"/>
      <c r="V7" t="s">
        <v>8</v>
      </c>
      <c r="W7" s="2">
        <f>[3]Sheet1!$K$10</f>
        <v>1</v>
      </c>
    </row>
    <row r="8" spans="1:23" x14ac:dyDescent="0.25">
      <c r="C8" t="s">
        <v>8</v>
      </c>
      <c r="D8">
        <f>[3]Sheet1!$H$10</f>
        <v>2</v>
      </c>
      <c r="F8">
        <f t="shared" ref="F8" si="0">SUM(D7:D8)</f>
        <v>4</v>
      </c>
      <c r="T8" s="2">
        <f>[4]Sheet1!$N$5</f>
        <v>0.66634575402359542</v>
      </c>
      <c r="U8" t="s">
        <v>18</v>
      </c>
      <c r="V8" t="s">
        <v>9</v>
      </c>
      <c r="W8" s="2">
        <f>[4]Sheet1!$K$8</f>
        <v>0.69900332225913775</v>
      </c>
    </row>
    <row r="9" spans="1:23" x14ac:dyDescent="0.25">
      <c r="A9">
        <f>'NoContext Araña'!O9</f>
        <v>143</v>
      </c>
      <c r="B9" t="s">
        <v>18</v>
      </c>
      <c r="C9" t="s">
        <v>9</v>
      </c>
      <c r="D9">
        <f>[4]Sheet1!$H$8</f>
        <v>129</v>
      </c>
      <c r="T9" s="2"/>
      <c r="V9" t="s">
        <v>10</v>
      </c>
      <c r="W9" s="2">
        <f>[4]Sheet1!$K$10</f>
        <v>0.36542958956752053</v>
      </c>
    </row>
    <row r="10" spans="1:23" x14ac:dyDescent="0.25">
      <c r="C10" t="s">
        <v>10</v>
      </c>
      <c r="D10">
        <f>[4]Sheet1!$H$10</f>
        <v>14</v>
      </c>
      <c r="F10">
        <f t="shared" ref="F10" si="1">SUM(D9:D10)</f>
        <v>143</v>
      </c>
      <c r="T10" s="2">
        <f>[5]Sheet1!$N$5</f>
        <v>0.69259991480344874</v>
      </c>
      <c r="U10" t="s">
        <v>1</v>
      </c>
      <c r="V10" t="s">
        <v>11</v>
      </c>
      <c r="W10" s="2">
        <f>[5]Sheet1!$K$8</f>
        <v>0.71210114388922474</v>
      </c>
    </row>
    <row r="11" spans="1:23" x14ac:dyDescent="0.25">
      <c r="A11">
        <f>'NoContext Araña'!O10</f>
        <v>164</v>
      </c>
      <c r="B11" t="s">
        <v>1</v>
      </c>
      <c r="C11" t="s">
        <v>11</v>
      </c>
      <c r="D11">
        <f>[5]Sheet1!$H$8</f>
        <v>151</v>
      </c>
      <c r="T11" s="2"/>
      <c r="V11" t="s">
        <v>12</v>
      </c>
      <c r="W11" s="2">
        <f>[5]Sheet1!$K$10</f>
        <v>0.46608563849943158</v>
      </c>
    </row>
    <row r="12" spans="1:23" x14ac:dyDescent="0.25">
      <c r="C12" t="s">
        <v>12</v>
      </c>
      <c r="D12">
        <f>[5]Sheet1!$H$10</f>
        <v>13</v>
      </c>
      <c r="F12">
        <f t="shared" ref="F12" si="2">SUM(D11:D12)</f>
        <v>164</v>
      </c>
      <c r="T12" s="2">
        <f>[6]Sheet1!$N$5</f>
        <v>0.68233647751858872</v>
      </c>
      <c r="U12" t="s">
        <v>2</v>
      </c>
      <c r="V12" t="s">
        <v>13</v>
      </c>
      <c r="W12" s="2">
        <f>[6]Sheet1!$K$8</f>
        <v>0.7162581123439562</v>
      </c>
    </row>
    <row r="13" spans="1:23" x14ac:dyDescent="0.25">
      <c r="A13">
        <f>'NoContext Araña'!O11</f>
        <v>165</v>
      </c>
      <c r="B13" t="s">
        <v>2</v>
      </c>
      <c r="C13" t="s">
        <v>13</v>
      </c>
      <c r="D13">
        <f>[6]Sheet1!$H$8</f>
        <v>152</v>
      </c>
      <c r="V13" t="s">
        <v>14</v>
      </c>
      <c r="W13" s="2">
        <f>[6]Sheet1!$K$10</f>
        <v>0.28571428571428564</v>
      </c>
    </row>
    <row r="14" spans="1:23" x14ac:dyDescent="0.25">
      <c r="C14" t="s">
        <v>14</v>
      </c>
      <c r="D14">
        <f>[6]Sheet1!$H$10</f>
        <v>13</v>
      </c>
      <c r="F14">
        <f t="shared" ref="F14" si="3">SUM(D13:D14)</f>
        <v>165</v>
      </c>
    </row>
    <row r="29" spans="2:4" x14ac:dyDescent="0.25">
      <c r="B29" t="s">
        <v>0</v>
      </c>
      <c r="C29" t="s">
        <v>4</v>
      </c>
      <c r="D29" s="1">
        <f>D3/$F$4</f>
        <v>0.95</v>
      </c>
    </row>
    <row r="30" spans="2:4" x14ac:dyDescent="0.25">
      <c r="C30" t="s">
        <v>3</v>
      </c>
      <c r="D30" s="1">
        <f t="shared" ref="D30" si="4">D4/$F$4</f>
        <v>0.05</v>
      </c>
    </row>
    <row r="31" spans="2:4" x14ac:dyDescent="0.25">
      <c r="B31" t="s">
        <v>19</v>
      </c>
      <c r="C31" t="s">
        <v>6</v>
      </c>
      <c r="D31" s="1">
        <f>D5/$F$6</f>
        <v>0.78787878787878785</v>
      </c>
    </row>
    <row r="32" spans="2:4" x14ac:dyDescent="0.25">
      <c r="C32" t="s">
        <v>5</v>
      </c>
      <c r="D32" s="1">
        <f>D6/$F$6</f>
        <v>0.21212121212121213</v>
      </c>
    </row>
    <row r="33" spans="2:4" x14ac:dyDescent="0.25">
      <c r="B33" t="s">
        <v>20</v>
      </c>
      <c r="C33" t="s">
        <v>7</v>
      </c>
      <c r="D33" s="1">
        <f>D7/$F$8</f>
        <v>0.5</v>
      </c>
    </row>
    <row r="34" spans="2:4" x14ac:dyDescent="0.25">
      <c r="C34" t="s">
        <v>8</v>
      </c>
      <c r="D34" s="1">
        <f>D8/$F$8</f>
        <v>0.5</v>
      </c>
    </row>
    <row r="35" spans="2:4" x14ac:dyDescent="0.25">
      <c r="B35" t="s">
        <v>18</v>
      </c>
      <c r="C35" t="s">
        <v>9</v>
      </c>
      <c r="D35" s="1">
        <f>D9/$F$10</f>
        <v>0.90209790209790208</v>
      </c>
    </row>
    <row r="36" spans="2:4" x14ac:dyDescent="0.25">
      <c r="C36" t="s">
        <v>10</v>
      </c>
      <c r="D36" s="1">
        <f>D10/$F$10</f>
        <v>9.7902097902097904E-2</v>
      </c>
    </row>
    <row r="37" spans="2:4" x14ac:dyDescent="0.25">
      <c r="B37" t="s">
        <v>1</v>
      </c>
      <c r="C37" t="s">
        <v>11</v>
      </c>
      <c r="D37" s="1">
        <f>D11/$F$12</f>
        <v>0.92073170731707321</v>
      </c>
    </row>
    <row r="38" spans="2:4" x14ac:dyDescent="0.25">
      <c r="C38" t="s">
        <v>12</v>
      </c>
      <c r="D38" s="1">
        <f>D12/$F$12</f>
        <v>7.926829268292683E-2</v>
      </c>
    </row>
    <row r="39" spans="2:4" x14ac:dyDescent="0.25">
      <c r="B39" t="s">
        <v>2</v>
      </c>
      <c r="C39" t="s">
        <v>13</v>
      </c>
      <c r="D39" s="1">
        <f>D13/$F$14</f>
        <v>0.92121212121212126</v>
      </c>
    </row>
    <row r="40" spans="2:4" x14ac:dyDescent="0.25">
      <c r="C40" t="s">
        <v>14</v>
      </c>
      <c r="D40" s="1">
        <f>D14/$F$14</f>
        <v>7.8787878787878782E-2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D13"/>
  <sheetViews>
    <sheetView workbookViewId="0">
      <selection activeCell="Q23" sqref="Q23"/>
    </sheetView>
  </sheetViews>
  <sheetFormatPr baseColWidth="10" defaultColWidth="9.140625" defaultRowHeight="15" x14ac:dyDescent="0.25"/>
  <cols>
    <col min="2" max="2" width="19.85546875" customWidth="1"/>
  </cols>
  <sheetData>
    <row r="2" spans="2:4" x14ac:dyDescent="0.25">
      <c r="B2" t="s">
        <v>21</v>
      </c>
    </row>
    <row r="3" spans="2:4" x14ac:dyDescent="0.25">
      <c r="B3" t="s">
        <v>17</v>
      </c>
      <c r="C3">
        <f>[7]Sheet1!$H$5</f>
        <v>157</v>
      </c>
    </row>
    <row r="4" spans="2:4" x14ac:dyDescent="0.25">
      <c r="B4" t="s">
        <v>15</v>
      </c>
      <c r="C4">
        <f>[7]Sheet1!$H$8</f>
        <v>148</v>
      </c>
    </row>
    <row r="5" spans="2:4" x14ac:dyDescent="0.25">
      <c r="B5" t="s">
        <v>16</v>
      </c>
      <c r="C5">
        <f>[7]Sheet1!$H$10</f>
        <v>9</v>
      </c>
    </row>
    <row r="10" spans="2:4" x14ac:dyDescent="0.25">
      <c r="B10" t="s">
        <v>22</v>
      </c>
    </row>
    <row r="11" spans="2:4" x14ac:dyDescent="0.25">
      <c r="B11" t="s">
        <v>17</v>
      </c>
      <c r="C11" s="2">
        <f>[7]Sheet1!$N$5</f>
        <v>0.7112680282780004</v>
      </c>
      <c r="D11" s="2"/>
    </row>
    <row r="12" spans="2:4" x14ac:dyDescent="0.25">
      <c r="B12" t="s">
        <v>15</v>
      </c>
      <c r="C12" s="2">
        <f>[7]Sheet1!$K$8</f>
        <v>0.73714629640687457</v>
      </c>
      <c r="D12" s="2"/>
    </row>
    <row r="13" spans="2:4" x14ac:dyDescent="0.25">
      <c r="B13" t="s">
        <v>16</v>
      </c>
      <c r="C13" s="2">
        <f>[7]Sheet1!$K$10</f>
        <v>0.28571428571428564</v>
      </c>
      <c r="D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2026-04-28T11:35:55Z</dcterms:modified>
</cp:coreProperties>
</file>