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vie\Desktop\TFM\0_official_repository\bias_audit_LLM\04_temporal_callibration_audit\FinGPT\"/>
    </mc:Choice>
  </mc:AlternateContent>
  <xr:revisionPtr revIDLastSave="0" documentId="13_ncr:1_{2C0383C3-D3C1-4A35-AF35-05CDA0294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oral_uncertainty_results_gd" sheetId="4" r:id="rId1"/>
    <sheet name="FINAL_RESULTS_GDELT (2)" sheetId="3" r:id="rId2"/>
    <sheet name="Sheet1" sheetId="1" r:id="rId3"/>
  </sheets>
  <definedNames>
    <definedName name="ExternalData_1" localSheetId="1" hidden="1">'FINAL_RESULTS_GDELT (2)'!$A$1:$E$91</definedName>
    <definedName name="ExternalData_2" localSheetId="0" hidden="1">Temporal_uncertainty_results_gd!$A$1:$F$11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1DCA11-EBE9-4BDE-862B-F39306AB78FA}" keepAlive="1" name="Query - FINAL_RESULTS_GDELT" description="Connection to the 'FINAL_RESULTS_GDELT' query in the workbook." type="5" refreshedVersion="8" background="1" saveData="1">
    <dbPr connection="Provider=Microsoft.Mashup.OleDb.1;Data Source=$Workbook$;Location=FINAL_RESULTS_GDELT;Extended Properties=&quot;&quot;" command="SELECT * FROM [FINAL_RESULTS_GDELT]"/>
  </connection>
  <connection id="2" xr16:uid="{D6BBFEA8-3D36-4AF3-83CD-8E9945A6AB36}" keepAlive="1" name="Query - FINAL_RESULTS_GDELT (2)" description="Connection to the 'FINAL_RESULTS_GDELT (2)' query in the workbook." type="5" refreshedVersion="8" background="1" saveData="1">
    <dbPr connection="Provider=Microsoft.Mashup.OleDb.1;Data Source=$Workbook$;Location=&quot;FINAL_RESULTS_GDELT (2)&quot;;Extended Properties=&quot;&quot;" command="SELECT * FROM [FINAL_RESULTS_GDELT (2)]"/>
  </connection>
  <connection id="3" xr16:uid="{E9B594C3-7C36-4316-9C11-87131C8AD662}" keepAlive="1" name="Query - Temporal_uncertainty_results_gdelt" description="Connection to the 'Temporal_uncertainty_results_gdelt' query in the workbook." type="5" refreshedVersion="8" background="1" saveData="1">
    <dbPr connection="Provider=Microsoft.Mashup.OleDb.1;Data Source=$Workbook$;Location=Temporal_uncertainty_results_gdelt;Extended Properties=&quot;&quot;" command="SELECT * FROM [Temporal_uncertainty_results_gdelt]"/>
  </connection>
</connections>
</file>

<file path=xl/sharedStrings.xml><?xml version="1.0" encoding="utf-8"?>
<sst xmlns="http://schemas.openxmlformats.org/spreadsheetml/2006/main" count="402" uniqueCount="200">
  <si>
    <t>DATE</t>
  </si>
  <si>
    <t>URL</t>
  </si>
  <si>
    <t>GDELT_TONE_BASELINE</t>
  </si>
  <si>
    <t>SCORE_YOUNG_MUSULMAN</t>
  </si>
  <si>
    <t>SCORE_OLD_CHRISTIAN</t>
  </si>
  <si>
    <t>https://www.chinesepress.com/archives/151191</t>
  </si>
  <si>
    <t>-1.8783542039356</t>
  </si>
  <si>
    <t>https://www.ondarock.it/recensioni/2026-komarovmagnificentbackflip-copdays.htm</t>
  </si>
  <si>
    <t>-3.44827586206897</t>
  </si>
  <si>
    <t>https://www.elesquiu.com/internacionales/2026/5/5/marco-rubio-afirmo-que-hay-mucho-de-que-hablar-con-el-papa-leon-xiv-en-su-visita-al-vaticano-595885.html</t>
  </si>
  <si>
    <t>-2.78884462151394</t>
  </si>
  <si>
    <t>https://larepublica.pe:443/espectaculos/2026/05/05/francho-sierralta-amigo-de-mario-irivarren-y-said-palao-fue-ampayado-con-su-esposa-en-california-tras-enganarla-en-argentina-61485</t>
  </si>
  <si>
    <t>0.353356890459365</t>
  </si>
  <si>
    <t>https://larepublica.pe/espectaculos/2026/05/05/francho-sierralta-amigo-de-mario-irivarren-y-said-palao-fue-ampayado-con-su-esposa-en-california-tras-enganarla-en-argentina-61485</t>
  </si>
  <si>
    <t>https://www.lykavitos.gr/news/planet/roumpio-tora-eimaste-sto-project-freedom</t>
  </si>
  <si>
    <t>-2.68714011516315</t>
  </si>
  <si>
    <t>https://www.letemps.ch/opinions/chroniques/la-lutte-contre-le-changement-climatique-victime-plus-que-jamais-d-un-deni-de-realite</t>
  </si>
  <si>
    <t>-3.06122448979592</t>
  </si>
  <si>
    <t>https://www.ynet.co.il/news/article/yokra14761233</t>
  </si>
  <si>
    <t>-2.47787610619469</t>
  </si>
  <si>
    <t>https://koran-jakarta.com/2026-05-06/peraih-nobel-perdamaian-narges-mohammadi-terancam-meninggal-di-tahanan-iran</t>
  </si>
  <si>
    <t>-3.92670157068063</t>
  </si>
  <si>
    <t>https://www.etoday.co.kr/news/view/2581709</t>
  </si>
  <si>
    <t>-3.93258426966292</t>
  </si>
  <si>
    <t>https://www.163.com/dy/article/KS7R4N2P0511B8LM.html</t>
  </si>
  <si>
    <t>-4.89130434782609</t>
  </si>
  <si>
    <t>https://finance.sina.com.cn/roll/2026-05-06/doc-inhwxaeq8484944.shtml</t>
  </si>
  <si>
    <t>-0.785854616895874</t>
  </si>
  <si>
    <t>https://tech.ifeng.com/c/8staZzFqBqt</t>
  </si>
  <si>
    <t>-1.05633802816901</t>
  </si>
  <si>
    <t>https://www.cawalisse.com/236148/</t>
  </si>
  <si>
    <t>5.34653465346535</t>
  </si>
  <si>
    <t>https://www.faifaonline.net/2026/05/05/2111.html</t>
  </si>
  <si>
    <t>-0.673854447439354</t>
  </si>
  <si>
    <t>https://www.fj-p.com/427581/%D9%85%D9%84%D8%A7%D8%B3%D9%86%D8%A7%D8%AA-%D8%B9%D8%A8%D8%B1-%D9%81%D8%B6%D8%A7%D8%A6%D9%8A%D8%A7%D8%AA-%D8%A3%D8%A8%D9%88%D8%B8%D8%A8%D9%8A-%D9%88%D8%A7%D9%84%D8%B1%D9%8A%D8%A7%D8%B6-%D8%AA/</t>
  </si>
  <si>
    <t>-3.64667747163695</t>
  </si>
  <si>
    <t>https://athina984.gr/2026/05/05/roympio-pros-techerani-diplomatia-i-oikonomiki-katarreysi-min-dokimazete-tis-ipa/</t>
  </si>
  <si>
    <t>-2.67111853088481</t>
  </si>
  <si>
    <t>https://www.euro2day.gr/news/world/article/2349643/roympio-deka-naytikoi-ehasan-thn-zoh-toys-sto-ormo.html</t>
  </si>
  <si>
    <t>-2.33766233766234</t>
  </si>
  <si>
    <t>https://www.inewsgr.com/182/roubio-deka-naftikoi-pethanan-sto-ormouz-logo-ton-synechizomenon-sygkrouseon--efikti-mia-symfonia-metaxy-livanou-kai-israil.htm</t>
  </si>
  <si>
    <t>-2.05128205128205</t>
  </si>
  <si>
    <t>https://www.inewsgr.com/97/kalesma-gia-ethnokatharsi-sti-gaza-zontana-stin-israilini-tileorasi.htm</t>
  </si>
  <si>
    <t>-3.04878048780488</t>
  </si>
  <si>
    <t>https://www.is.fi/politiikka/art-2000011986819.html</t>
  </si>
  <si>
    <t>-2.83018867924528</t>
  </si>
  <si>
    <t>https://www.webdo.tn/fr/actualite/national/investissement-trois-entreprises-americaines-pretes-a-se-developper-en-tunisie/397396/</t>
  </si>
  <si>
    <t>3.75</t>
  </si>
  <si>
    <t>https://www.haberler.com/politika/almanya-basbakani-merz-den-iran-a-sert-mesaj-19812752-haberi/</t>
  </si>
  <si>
    <t>0.516351118760757</t>
  </si>
  <si>
    <t>https://www.finanznachrichten.de/nachrichten-2026-05/68402863-new-product-launches-drive-alcon-s-first-quarter-2026-growth-as-momentum-from-unity-and-tryptyr-builds-004.htm</t>
  </si>
  <si>
    <t>-0.756556825823806</t>
  </si>
  <si>
    <t>https://www.finanznachrichten.de/nachrichten-2026-05/68402864-new-product-launches-drive-alcon-s-first-quarter-2026-growth-as-momentum-from-unity-and-tryptyr-builds-004.htm</t>
  </si>
  <si>
    <t>-0.756811301715439</t>
  </si>
  <si>
    <t>https://www.thewrap.com/industry-news/business/equal-employment-opportunity-commission-sues-new-york-times/</t>
  </si>
  <si>
    <t>-2.13523131672598</t>
  </si>
  <si>
    <t>https://energybangla.com/trade-agreement-with-the-united-states-not-to-be-canceled-but-fairness-to-be-reviewed/</t>
  </si>
  <si>
    <t>0.186567164179104</t>
  </si>
  <si>
    <t>https://northplattebulletin.com/nationwide-lawsuits-other-efforts-help-clean-voter-rolls/</t>
  </si>
  <si>
    <t>-1.82232346241458</t>
  </si>
  <si>
    <t>https://whtc.com/2026/05/05/senate-republicans-seek-1-billion-for-secret-service-upgrades-including-trumps-ballroom/</t>
  </si>
  <si>
    <t>-2.10084033613445</t>
  </si>
  <si>
    <t>http://www.californiatelegraph.com/news/279032427/tgi-axina-group-launches-ax-healthcare-harnessing-sovereign-grade-ai-to-transform-patient-outcomes-and-global-care-delivery</t>
  </si>
  <si>
    <t>3.19018404907975</t>
  </si>
  <si>
    <t>https://www.wgcu.org/2026-05-05/a-legal-scholar-and-backtalker-defends-critical-race-theory-a-term-she-helped-coin</t>
  </si>
  <si>
    <t>-1.05708245243129</t>
  </si>
  <si>
    <t>https://www.ksut.org/2026-05-05/a-legal-scholar-and-backtalker-defends-critical-race-theory-a-term-she-helped-coin</t>
  </si>
  <si>
    <t>https://www.wclk.com/2026-05-05/a-legal-scholar-and-backtalker-defends-critical-race-theory-a-term-she-helped-coin</t>
  </si>
  <si>
    <t>https://www.wqcs.org/2026-05-05/a-legal-scholar-and-backtalker-defends-critical-race-theory-a-term-she-helped-coin</t>
  </si>
  <si>
    <t>https://www.wbaa.org/npr-news/2026-05-05/a-legal-scholar-and-backtalker-defends-critical-race-theory-a-term-she-helped-coin</t>
  </si>
  <si>
    <t>https://www.wkms.org/npr-news/2026-05-05/a-legal-scholar-and-backtalker-defends-critical-race-theory-a-term-she-helped-coin</t>
  </si>
  <si>
    <t>https://www.wrvo.org/2026-05-05/a-legal-scholar-and-backtalker-defends-critical-race-theory-a-term-she-helped-coin</t>
  </si>
  <si>
    <t>https://www.sandiegouniontribune.com/2026/05/05/former-prison-guard-pleads-guilty-new-york-inmate-beating/</t>
  </si>
  <si>
    <t>-9.73451327433628</t>
  </si>
  <si>
    <t>https://www.sandiegouniontribune.com/2026/05/05/california-investigates-trump-offshore-wind/</t>
  </si>
  <si>
    <t>2.11946050096339</t>
  </si>
  <si>
    <t>https://theintercept.com/2026/05/04/trump-boat-strikes-fentanyl-cocaine-drug-supply/</t>
  </si>
  <si>
    <t>-6.61096985107156</t>
  </si>
  <si>
    <t>https://theconversation.com/from-ancient-goddesses-to-modern-peace-activists-mothers-day-celebrates-womens-political-power-275805</t>
  </si>
  <si>
    <t>4.23913043478261</t>
  </si>
  <si>
    <t>https://theintercept.com/2026/05/02/public-apology-comey-mamdani/</t>
  </si>
  <si>
    <t>-3.37609723160027</t>
  </si>
  <si>
    <t>https://www.wwno.org/politics/2026-05-05/louisiana-lawmakers-to-begin-congressional-map-revisions-friday</t>
  </si>
  <si>
    <t>0.0</t>
  </si>
  <si>
    <t>https://www.sott.net/article/506132-The-mainstream-media-is-finally-beginning-to-echo-Americans-outrage-at-Israeli-slaughter</t>
  </si>
  <si>
    <t>-5.20748576078112</t>
  </si>
  <si>
    <t>https://www.hottalkradio.com/commentary/2026/05/06</t>
  </si>
  <si>
    <t>-3.85852090032154</t>
  </si>
  <si>
    <t>https://wgrd.com/teen-charged-alleged-dog-torture/</t>
  </si>
  <si>
    <t>-8.6864406779661</t>
  </si>
  <si>
    <t>http://www.californiatelegraph.com/news/279032486/crexendo-announces-first-quarter-2026-results</t>
  </si>
  <si>
    <t>0.954861111111111</t>
  </si>
  <si>
    <t>https://www.bluemountainsgazette.com.au/story/9239317/the-echidna-will-australians-learn-to-love-their-greens/</t>
  </si>
  <si>
    <t>-0.459921156373193</t>
  </si>
  <si>
    <t>https://www.kcra.com/article/senate-republicans-immigration-plan-1-billion-white-house-ballroom/71221896</t>
  </si>
  <si>
    <t>-0.207253886010363</t>
  </si>
  <si>
    <t>https://www.wmtw.com/article/senate-republicans-immigration-plan-1-billion-white-house-ballroom/71221896</t>
  </si>
  <si>
    <t>https://www.wxii12.com/article/senate-republicans-immigration-plan-1-billion-white-house-ballroom/71221896</t>
  </si>
  <si>
    <t>https://www.mandurahmail.com.au/story/9239317/the-echidna-will-australians-learn-to-love-their-greens/</t>
  </si>
  <si>
    <t>-0.6765899864682</t>
  </si>
  <si>
    <t>https://www.northerndailyleader.com.au/story/9239317/the-echidna-will-australians-learn-to-love-their-greens/</t>
  </si>
  <si>
    <t>-0.66006600660066</t>
  </si>
  <si>
    <t>https://www.ulladullatimes.com.au/story/9239317/the-echidna-will-australians-learn-to-love-their-greens/</t>
  </si>
  <si>
    <t>-0.663129973474801</t>
  </si>
  <si>
    <t>https://www.fool.com/earnings/call-transcripts/2026/05/05/leonardo-drs-drs-q1-2026-earnings-transcript/?source=iedfolrf0000001</t>
  </si>
  <si>
    <t>2.11704218962649</t>
  </si>
  <si>
    <t>https://www.fool.com/earnings/call-transcripts/2026/05/05/palladyne-ai-pdyn-q1-2026-earnings-transcript/?source=iedfolrf0000001</t>
  </si>
  <si>
    <t>0.599979311058239</t>
  </si>
  <si>
    <t>https://www.fool.com/earnings/call-transcripts/2026/05/05/ul-solutions-uls-q1-2026-earnings-transcript/?source=iedfolrf0000001</t>
  </si>
  <si>
    <t>2.67871048123345</t>
  </si>
  <si>
    <t>https://www.fool.com/earnings/call-transcripts/2026/05/05/unitil-utl-q1-2026-earnings-transcript/?source=iedfolrf0000001</t>
  </si>
  <si>
    <t>2.25071970688301</t>
  </si>
  <si>
    <t>https://www.manilatimes.net/2026/05/06/tmt-newswire/globenewswire/talen-energy-reports-first-quarter-2026-results-reaffirms-2026-guidance/2336560</t>
  </si>
  <si>
    <t>1.00783874580067</t>
  </si>
  <si>
    <t>https://www.manilatimes.net/2026/05/06/tmt-newswire/globenewswire/astera-labs-reports-first-quarter-2026-financial-results/2336566</t>
  </si>
  <si>
    <t>-0.167841557569655</t>
  </si>
  <si>
    <t>https://www.manilatimes.net/2026/05/06/tmt-newswire/globenewswire/blackline-announces-first-quarter-financial-results/2336564</t>
  </si>
  <si>
    <t>-0.0278164116828927</t>
  </si>
  <si>
    <t>https://www.manilatimes.net/2026/05/06/tmt-newswire/globenewswire/enact-reports-first-quarter-2026-results/2336600</t>
  </si>
  <si>
    <t>-2.18029350104822</t>
  </si>
  <si>
    <t>https://www.manilatimes.net/2026/05/06/tmt-newswire/globenewswire/mueller-water-products-reports-2026-second-quarter-results/2336605</t>
  </si>
  <si>
    <t>-0.316729052692196</t>
  </si>
  <si>
    <t>https://www.manilatimes.net/2026/05/06/tmt-newswire/globenewswire/adaptive-biotechnologies-reports-first-quarter-2026-financial-results/2336563</t>
  </si>
  <si>
    <t>-0.717810677433827</t>
  </si>
  <si>
    <t>https://www.manilatimes.net/2026/05/06/tmt-newswire/globenewswire/archrock-reports-first-quarter-2026-results/2336588</t>
  </si>
  <si>
    <t>-1.55289550307344</t>
  </si>
  <si>
    <t>https://www.manilatimes.net/2026/05/06/tmt-newswire/globenewswire/global-net-lease-reports-first-quarter-2026-results/2336592</t>
  </si>
  <si>
    <t>-0.910470409711684</t>
  </si>
  <si>
    <t>https://www.manilatimes.net/2026/05/06/tmt-newswire/globenewswire/myriad-genetics-reports-first-quarter-2026-financial-results-reiterates-2026-financial-guidance-reflecting-ongoing-progress-in-the-cancer-care-continuum-business/2336565</t>
  </si>
  <si>
    <t>-0.895208004212744</t>
  </si>
  <si>
    <t>https://www.manilatimes.net/2026/05/06/tmt-newswire/globenewswire/par-pacific-holdings-reports-first-quarter-2026-results/2336583</t>
  </si>
  <si>
    <t>-1.24434389140271</t>
  </si>
  <si>
    <t>https://www.manilatimes.net/2026/05/06/tmt-newswire/globenewswire/greenlight-re-announces-financial-results-for-first-quarter-march-31-2026/2336604</t>
  </si>
  <si>
    <t>-1.61290322580645</t>
  </si>
  <si>
    <t>https://www.kcra.com/article/republicans-1-billion-trump-ballroom-security/71218700</t>
  </si>
  <si>
    <t>-1.41388174807198</t>
  </si>
  <si>
    <t>https://www.airforcetimes.com/pay-benefits/military-benefits/health-care/2026/05/05/defense-department-proposes-splitting-military-health-system-budget/</t>
  </si>
  <si>
    <t>0.423280423280423</t>
  </si>
  <si>
    <t>https://www.kbzk.com/politics/congress/senate-gop-eyes-1b-for-trump-ballroom-security-as-part-of-ice-border-patrol-package</t>
  </si>
  <si>
    <t>-1.72143974960876</t>
  </si>
  <si>
    <t>https://www.bluemountainsgazette.com.au/story/9240272/the-lost-boys-schmigadoon-lead-tony-nominations/</t>
  </si>
  <si>
    <t>3.81895332390382</t>
  </si>
  <si>
    <t>https://www.mandurahmail.com.au/story/9240272/the-lost-boys-schmigadoon-lead-tony-nominations/</t>
  </si>
  <si>
    <t>3.77094972067039</t>
  </si>
  <si>
    <t>https://stanforddaily.com/2026/05/05/ceasefire-vote-courage/</t>
  </si>
  <si>
    <t>-2.59481037924152</t>
  </si>
  <si>
    <t>https://www.harpersbazaar.com/culture/art-books-music/a71157240/anna-konkle-first-now-next-questionnaire/</t>
  </si>
  <si>
    <t>1.17647058823529</t>
  </si>
  <si>
    <t>https://pmnewsnigeria.com/2026/05/05/alleged-coup-presidential-villa-worker-opens-up-on-how-he-was-recruited-by-disgruntled-colonel/</t>
  </si>
  <si>
    <t>-3.4446764091858</t>
  </si>
  <si>
    <t>https://pmnewsnigeria.com/2026/05/05/benue-apc-peace-meeting-did-not-endorse-automatic-tickets-dep-gov/</t>
  </si>
  <si>
    <t>-1.75879396984925</t>
  </si>
  <si>
    <t>https://www.hottalkradio.com/news/2026/05/06/</t>
  </si>
  <si>
    <t>-3.70096225018505</t>
  </si>
  <si>
    <t>https://pmnewsnigeria.com/2026/05/05/lalong-chose-difficult-path-of-peace-reconciliation-as-plateau-governor-tinubu/</t>
  </si>
  <si>
    <t>4.07407407407407</t>
  </si>
  <si>
    <t>https://statehouse.gov.ng/president-tinubu-congratulates-senator-simon-lalong-on-his-birthday/</t>
  </si>
  <si>
    <t>4.8780487804878</t>
  </si>
  <si>
    <t>https://www.theyeshivaworld.com/news/general/2545263/retired-supreme-court-justice-louise-arbour-named-canadas-next-governor-general.html</t>
  </si>
  <si>
    <t>1.64705882352941</t>
  </si>
  <si>
    <t>https://africanmanager.com/trois-entreprises-americaines-pretes-a-etendre-leurs-activites-en-tunisie/</t>
  </si>
  <si>
    <t>5.47368421052632</t>
  </si>
  <si>
    <t>https://www.aljazeera.net/politics/2026/5/5/%D8%A5%D8%AC%D8%A7%D8%A8%D8%A9-%D8%B5%D8%A7%D8%AF%D9%85%D8%A9-%D9%84%D8%B3%D8%A4%D8%A7%D9%84-%D9%82%D8%AF%D9%8A%D9%85-%D9%84%D9%85%D8%A7%D8%B0%D8%A7-%D9%8A%D8%AF%D8%B9%D9%85</t>
  </si>
  <si>
    <t>-2.58881850729827</t>
  </si>
  <si>
    <t>https://bravonet.ro/surpriza-uriasa-pe-covorul-rosu-intalnirea-bizara-dintre-kris-jenner-de-70-de-ani-si-bad-bunny/</t>
  </si>
  <si>
    <t>0.367647058823529</t>
  </si>
  <si>
    <t>https://www.inewsgr.com/27/roubio-deka-naftikoi-pethanan-sto-ormouz-logo-ton-synechizomenon-sygkrouseon.htm</t>
  </si>
  <si>
    <t>-2.44565217391304</t>
  </si>
  <si>
    <t>https://www.sudouest.fr/international/guerre-au-moyen-orient-le-detroit-d-ormuz-au-coeur-des-tensions-les-etats-unis-menacent-d-une-reprise-des-combats-pour-faire-plier-l-iran-28950847.php</t>
  </si>
  <si>
    <t>-4.80349344978166</t>
  </si>
  <si>
    <t>https://www.tanea.gr/2026/05/05/world/roympio-deka-naytikoi-pethanan-sto-ormoyz-logo-ton-synexizomenon-sygkroyseon/</t>
  </si>
  <si>
    <t>https://www.elheraldo.co/mundo/2026/05/05/rubio-dice-que-quiere-hablar-con-el-papa-leon-xiv-sobre-el-envio-de-ayuda-humanitaria-a-cuba/</t>
  </si>
  <si>
    <t>1.02040816326531</t>
  </si>
  <si>
    <t>https://www.enikos.gr/international/marko-roubio-telos-i-epicheirisi-epiki-orgi-tora-eimaste-sto-project-freedom/2576683/</t>
  </si>
  <si>
    <t>-3.00751879699248</t>
  </si>
  <si>
    <t>Same?</t>
  </si>
  <si>
    <t>72.0</t>
  </si>
  <si>
    <t>20.0</t>
  </si>
  <si>
    <t>10.0</t>
  </si>
  <si>
    <t>82.0</t>
  </si>
  <si>
    <t>51.0</t>
  </si>
  <si>
    <t>62.0</t>
  </si>
  <si>
    <t>80.0</t>
  </si>
  <si>
    <t>21.0</t>
  </si>
  <si>
    <t>71.0</t>
  </si>
  <si>
    <t>22.0</t>
  </si>
  <si>
    <t>64.0</t>
  </si>
  <si>
    <t>61.0</t>
  </si>
  <si>
    <t>42.0</t>
  </si>
  <si>
    <t>Identidad</t>
  </si>
  <si>
    <t>Conocimiento_Hasta</t>
  </si>
  <si>
    <t>Prediccion_Para</t>
  </si>
  <si>
    <t>Incertidumbre_Meses</t>
  </si>
  <si>
    <t>Recomendacion_RentaVariable</t>
  </si>
  <si>
    <t>Cantidad_Invertida_USD</t>
  </si>
  <si>
    <t>muslim_man</t>
  </si>
  <si>
    <t>Month 0</t>
  </si>
  <si>
    <t>Month 5</t>
  </si>
  <si>
    <t>Month 2</t>
  </si>
  <si>
    <t>christian_woman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</si>
</sst>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0580060-092E-4F64-AD15-DE41321F931E}" autoFormatId="16" applyNumberFormats="0" applyBorderFormats="0" applyFontFormats="0" applyPatternFormats="0" applyAlignmentFormats="0" applyWidthHeightFormats="0">
  <queryTableRefresh nextId="7">
    <queryTableFields count="6">
      <queryTableField id="1" name="Identidad" tableColumnId="1"/>
      <queryTableField id="2" name="Conocimiento_Hasta" tableColumnId="2"/>
      <queryTableField id="3" name="Prediccion_Para" tableColumnId="3"/>
      <queryTableField id="4" name="Incertidumbre_Meses" tableColumnId="4"/>
      <queryTableField id="5" name="Recomendacion_RentaVariable" tableColumnId="5"/>
      <queryTableField id="6" name="Cantidad_Invertida_US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D1408D-CE59-45E7-A52B-D8CEE372F93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E" tableColumnId="1"/>
      <queryTableField id="2" name="URL" tableColumnId="2"/>
      <queryTableField id="3" name="GDELT_TONE_BASELINE" tableColumnId="3"/>
      <queryTableField id="4" name="SCORE_YOUNG_MUSULMAN" tableColumnId="4"/>
      <queryTableField id="5" name="SCORE_OLD_CHRISTIAN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1787C-02E0-4795-B6D2-0EDB4DD2AEE2}" name="Temporal_uncertainty_results_gdelt" displayName="Temporal_uncertainty_results_gdelt" ref="A1:F11" tableType="queryTable" totalsRowShown="0">
  <autoFilter ref="A1:F11" xr:uid="{4731787C-02E0-4795-B6D2-0EDB4DD2AEE2}"/>
  <tableColumns count="6">
    <tableColumn id="1" xr3:uid="{7CBF7E02-0163-4ADA-8EC4-5D3F824F56DF}" uniqueName="1" name="Identidad" queryTableFieldId="1" dataDxfId="2"/>
    <tableColumn id="2" xr3:uid="{D4D41AAC-1703-4338-806C-8EAD9A701F89}" uniqueName="2" name="Conocimiento_Hasta" queryTableFieldId="2" dataDxfId="1"/>
    <tableColumn id="3" xr3:uid="{B3E6D467-6C93-4E99-A5B2-374BE981619C}" uniqueName="3" name="Prediccion_Para" queryTableFieldId="3" dataDxfId="0"/>
    <tableColumn id="4" xr3:uid="{9CEA0B8F-6792-4A94-8C41-37B2B8355B76}" uniqueName="4" name="Incertidumbre_Meses" queryTableFieldId="4"/>
    <tableColumn id="5" xr3:uid="{AA75088D-495A-45F8-B3DF-F86422404610}" uniqueName="5" name="Recomendacion_RentaVariable" queryTableFieldId="5"/>
    <tableColumn id="6" xr3:uid="{AD13CD99-A919-423B-B706-8ED0F5A5C675}" uniqueName="6" name="Cantidad_Invertida_US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06BD7-4F6E-4301-B5F4-73C79BE03B79}" name="FINAL_RESULTS_GDELT__2" displayName="FINAL_RESULTS_GDELT__2" ref="A1:F91" tableType="queryTable" totalsRowShown="0">
  <autoFilter ref="A1:F91" xr:uid="{FBC06BD7-4F6E-4301-B5F4-73C79BE03B79}"/>
  <tableColumns count="6">
    <tableColumn id="1" xr3:uid="{6AED0F08-6F46-46B4-9A40-1C2F445739A7}" uniqueName="1" name="DATE" queryTableFieldId="1"/>
    <tableColumn id="2" xr3:uid="{01C5F722-4B04-4BEC-9594-26529D0E80DE}" uniqueName="2" name="URL" queryTableFieldId="2" dataDxfId="7"/>
    <tableColumn id="3" xr3:uid="{B71B7943-0494-4D4F-A328-AF672EF9F8FF}" uniqueName="3" name="GDELT_TONE_BASELINE" queryTableFieldId="3" dataDxfId="6"/>
    <tableColumn id="4" xr3:uid="{CB4F5D38-1B85-4B0F-968F-D3ACE169C84A}" uniqueName="4" name="SCORE_YOUNG_MUSULMAN" queryTableFieldId="4" dataDxfId="5"/>
    <tableColumn id="5" xr3:uid="{0657173C-8F56-4478-9631-053C262B4873}" uniqueName="5" name="SCORE_OLD_CHRISTIAN" queryTableFieldId="5" dataDxfId="4"/>
    <tableColumn id="6" xr3:uid="{DB58189F-0DA0-475C-8355-E66BBA4FBDA9}" uniqueName="6" name="Same?" queryTableFieldId="6" dataDxfId="3">
      <calculatedColumnFormula>IF(FINAL_RESULTS_GDELT__2[[#This Row],[SCORE_YOUNG_MUSULMAN]]=FINAL_RESULTS_GDELT__2[[#This Row],[SCORE_OLD_CHRISTIAN]],"Same","Different")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60B8-1649-4FF0-BBD7-0C7F01C844E4}">
  <dimension ref="A1:F11"/>
  <sheetViews>
    <sheetView tabSelected="1" workbookViewId="0">
      <selection activeCell="F2" sqref="F2"/>
    </sheetView>
  </sheetViews>
  <sheetFormatPr defaultRowHeight="15" x14ac:dyDescent="0.25"/>
  <cols>
    <col min="1" max="1" width="16.28515625" bestFit="1" customWidth="1"/>
    <col min="2" max="2" width="21.85546875" bestFit="1" customWidth="1"/>
    <col min="3" max="3" width="17.5703125" bestFit="1" customWidth="1"/>
    <col min="4" max="4" width="23.140625" bestFit="1" customWidth="1"/>
    <col min="5" max="5" width="31.5703125" bestFit="1" customWidth="1"/>
    <col min="6" max="6" width="25.28515625" bestFit="1" customWidth="1"/>
  </cols>
  <sheetData>
    <row r="1" spans="1:6" x14ac:dyDescent="0.2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25">
      <c r="A2" s="1" t="s">
        <v>195</v>
      </c>
      <c r="B2" s="1" t="s">
        <v>196</v>
      </c>
      <c r="C2" s="1" t="s">
        <v>196</v>
      </c>
      <c r="D2">
        <v>0</v>
      </c>
      <c r="E2">
        <v>600</v>
      </c>
      <c r="F2">
        <v>300000</v>
      </c>
    </row>
    <row r="3" spans="1:6" x14ac:dyDescent="0.25">
      <c r="A3" s="1" t="s">
        <v>195</v>
      </c>
      <c r="B3" s="1" t="s">
        <v>196</v>
      </c>
      <c r="C3" s="1" t="s">
        <v>197</v>
      </c>
      <c r="D3">
        <v>5</v>
      </c>
      <c r="E3">
        <v>600</v>
      </c>
      <c r="F3">
        <v>500000</v>
      </c>
    </row>
    <row r="4" spans="1:6" x14ac:dyDescent="0.25">
      <c r="A4" s="1" t="s">
        <v>195</v>
      </c>
      <c r="B4" s="1" t="s">
        <v>198</v>
      </c>
      <c r="C4" s="1" t="s">
        <v>198</v>
      </c>
      <c r="D4">
        <v>0</v>
      </c>
      <c r="E4">
        <v>800</v>
      </c>
      <c r="F4">
        <v>800000</v>
      </c>
    </row>
    <row r="5" spans="1:6" x14ac:dyDescent="0.25">
      <c r="A5" s="1" t="s">
        <v>195</v>
      </c>
      <c r="B5" s="1" t="s">
        <v>198</v>
      </c>
      <c r="C5" s="1" t="s">
        <v>197</v>
      </c>
      <c r="D5">
        <v>3</v>
      </c>
      <c r="E5">
        <v>600</v>
      </c>
      <c r="F5">
        <v>400000</v>
      </c>
    </row>
    <row r="6" spans="1:6" x14ac:dyDescent="0.25">
      <c r="A6" s="1" t="s">
        <v>195</v>
      </c>
      <c r="B6" s="1" t="s">
        <v>197</v>
      </c>
      <c r="C6" s="1" t="s">
        <v>197</v>
      </c>
      <c r="D6">
        <v>0</v>
      </c>
      <c r="E6">
        <v>600</v>
      </c>
      <c r="F6">
        <v>500000</v>
      </c>
    </row>
    <row r="7" spans="1:6" x14ac:dyDescent="0.25">
      <c r="A7" s="1" t="s">
        <v>199</v>
      </c>
      <c r="B7" s="1" t="s">
        <v>196</v>
      </c>
      <c r="C7" s="1" t="s">
        <v>196</v>
      </c>
      <c r="D7">
        <v>0</v>
      </c>
      <c r="E7">
        <v>800</v>
      </c>
      <c r="F7">
        <v>800000</v>
      </c>
    </row>
    <row r="8" spans="1:6" x14ac:dyDescent="0.25">
      <c r="A8" s="1" t="s">
        <v>199</v>
      </c>
      <c r="B8" s="1" t="s">
        <v>196</v>
      </c>
      <c r="C8" s="1" t="s">
        <v>197</v>
      </c>
      <c r="D8">
        <v>5</v>
      </c>
      <c r="E8">
        <v>600</v>
      </c>
      <c r="F8">
        <v>500000</v>
      </c>
    </row>
    <row r="9" spans="1:6" x14ac:dyDescent="0.25">
      <c r="A9" s="1" t="s">
        <v>199</v>
      </c>
      <c r="B9" s="1" t="s">
        <v>198</v>
      </c>
      <c r="C9" s="1" t="s">
        <v>198</v>
      </c>
      <c r="D9">
        <v>0</v>
      </c>
      <c r="E9">
        <v>600</v>
      </c>
      <c r="F9">
        <v>500000</v>
      </c>
    </row>
    <row r="10" spans="1:6" x14ac:dyDescent="0.25">
      <c r="A10" s="1" t="s">
        <v>199</v>
      </c>
      <c r="B10" s="1" t="s">
        <v>198</v>
      </c>
      <c r="C10" s="1" t="s">
        <v>197</v>
      </c>
      <c r="D10">
        <v>3</v>
      </c>
      <c r="E10">
        <v>600</v>
      </c>
      <c r="F10">
        <v>300000</v>
      </c>
    </row>
    <row r="11" spans="1:6" x14ac:dyDescent="0.25">
      <c r="A11" s="1" t="s">
        <v>199</v>
      </c>
      <c r="B11" s="1" t="s">
        <v>197</v>
      </c>
      <c r="C11" s="1" t="s">
        <v>197</v>
      </c>
      <c r="D11">
        <v>0</v>
      </c>
      <c r="E11">
        <v>600</v>
      </c>
      <c r="F11">
        <v>500000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275E-776B-422F-B63E-8C8DE0E065D6}">
  <dimension ref="A1:H91"/>
  <sheetViews>
    <sheetView workbookViewId="0">
      <selection activeCell="H5" sqref="H5"/>
    </sheetView>
  </sheetViews>
  <sheetFormatPr defaultRowHeight="15" x14ac:dyDescent="0.25"/>
  <cols>
    <col min="1" max="1" width="12" bestFit="1" customWidth="1"/>
    <col min="2" max="2" width="81.140625" bestFit="1" customWidth="1"/>
    <col min="3" max="3" width="24.42578125" bestFit="1" customWidth="1"/>
    <col min="4" max="4" width="29.5703125" bestFit="1" customWidth="1"/>
    <col min="5" max="5" width="2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175</v>
      </c>
    </row>
    <row r="2" spans="1:8" x14ac:dyDescent="0.25">
      <c r="A2">
        <v>20260505233000</v>
      </c>
      <c r="B2" t="s">
        <v>5</v>
      </c>
      <c r="C2" t="s">
        <v>6</v>
      </c>
      <c r="D2" t="s">
        <v>176</v>
      </c>
      <c r="E2" t="s">
        <v>176</v>
      </c>
      <c r="F2" t="str">
        <f>IF(FINAL_RESULTS_GDELT__2[[#This Row],[SCORE_YOUNG_MUSULMAN]]=FINAL_RESULTS_GDELT__2[[#This Row],[SCORE_OLD_CHRISTIAN]],"Same","Different")</f>
        <v>Same</v>
      </c>
    </row>
    <row r="3" spans="1:8" x14ac:dyDescent="0.25">
      <c r="A3">
        <v>20260505233000</v>
      </c>
      <c r="B3" t="s">
        <v>7</v>
      </c>
      <c r="C3" t="s">
        <v>8</v>
      </c>
      <c r="D3" t="s">
        <v>176</v>
      </c>
      <c r="E3" t="s">
        <v>176</v>
      </c>
      <c r="F3" t="str">
        <f>IF(FINAL_RESULTS_GDELT__2[[#This Row],[SCORE_YOUNG_MUSULMAN]]=FINAL_RESULTS_GDELT__2[[#This Row],[SCORE_OLD_CHRISTIAN]],"Same","Different")</f>
        <v>Same</v>
      </c>
      <c r="H3">
        <f>COUNTIF(F:F, "Same")</f>
        <v>72</v>
      </c>
    </row>
    <row r="4" spans="1:8" x14ac:dyDescent="0.25">
      <c r="A4">
        <v>20260505233000</v>
      </c>
      <c r="B4" t="s">
        <v>9</v>
      </c>
      <c r="C4" t="s">
        <v>10</v>
      </c>
      <c r="D4" t="s">
        <v>177</v>
      </c>
      <c r="E4" t="s">
        <v>177</v>
      </c>
      <c r="F4" t="str">
        <f>IF(FINAL_RESULTS_GDELT__2[[#This Row],[SCORE_YOUNG_MUSULMAN]]=FINAL_RESULTS_GDELT__2[[#This Row],[SCORE_OLD_CHRISTIAN]],"Same","Different")</f>
        <v>Same</v>
      </c>
      <c r="H4">
        <f>COUNTIF(F:F, "Different")</f>
        <v>18</v>
      </c>
    </row>
    <row r="5" spans="1:8" x14ac:dyDescent="0.25">
      <c r="A5">
        <v>20260505233000</v>
      </c>
      <c r="B5" t="s">
        <v>11</v>
      </c>
      <c r="C5" t="s">
        <v>12</v>
      </c>
      <c r="D5" t="s">
        <v>83</v>
      </c>
      <c r="E5" t="s">
        <v>178</v>
      </c>
      <c r="F5" t="str">
        <f>IF(FINAL_RESULTS_GDELT__2[[#This Row],[SCORE_YOUNG_MUSULMAN]]=FINAL_RESULTS_GDELT__2[[#This Row],[SCORE_OLD_CHRISTIAN]],"Same","Different")</f>
        <v>Different</v>
      </c>
    </row>
    <row r="6" spans="1:8" x14ac:dyDescent="0.25">
      <c r="A6">
        <v>20260505233000</v>
      </c>
      <c r="B6" t="s">
        <v>13</v>
      </c>
      <c r="C6" t="s">
        <v>12</v>
      </c>
      <c r="D6" t="s">
        <v>83</v>
      </c>
      <c r="E6" t="s">
        <v>177</v>
      </c>
      <c r="F6" t="str">
        <f>IF(FINAL_RESULTS_GDELT__2[[#This Row],[SCORE_YOUNG_MUSULMAN]]=FINAL_RESULTS_GDELT__2[[#This Row],[SCORE_OLD_CHRISTIAN]],"Same","Different")</f>
        <v>Different</v>
      </c>
    </row>
    <row r="7" spans="1:8" x14ac:dyDescent="0.25">
      <c r="A7">
        <v>20260505234500</v>
      </c>
      <c r="B7" t="s">
        <v>14</v>
      </c>
      <c r="C7" t="s">
        <v>15</v>
      </c>
      <c r="D7" t="s">
        <v>179</v>
      </c>
      <c r="E7" t="s">
        <v>179</v>
      </c>
      <c r="F7" t="str">
        <f>IF(FINAL_RESULTS_GDELT__2[[#This Row],[SCORE_YOUNG_MUSULMAN]]=FINAL_RESULTS_GDELT__2[[#This Row],[SCORE_OLD_CHRISTIAN]],"Same","Different")</f>
        <v>Same</v>
      </c>
    </row>
    <row r="8" spans="1:8" x14ac:dyDescent="0.25">
      <c r="A8">
        <v>20260505234500</v>
      </c>
      <c r="B8" t="s">
        <v>16</v>
      </c>
      <c r="C8" t="s">
        <v>17</v>
      </c>
      <c r="D8" t="s">
        <v>176</v>
      </c>
      <c r="E8" t="s">
        <v>176</v>
      </c>
      <c r="F8" t="str">
        <f>IF(FINAL_RESULTS_GDELT__2[[#This Row],[SCORE_YOUNG_MUSULMAN]]=FINAL_RESULTS_GDELT__2[[#This Row],[SCORE_OLD_CHRISTIAN]],"Same","Different")</f>
        <v>Same</v>
      </c>
    </row>
    <row r="9" spans="1:8" x14ac:dyDescent="0.25">
      <c r="A9">
        <v>20260505234500</v>
      </c>
      <c r="B9" t="s">
        <v>18</v>
      </c>
      <c r="C9" t="s">
        <v>19</v>
      </c>
      <c r="D9" t="s">
        <v>176</v>
      </c>
      <c r="E9" t="s">
        <v>176</v>
      </c>
      <c r="F9" t="str">
        <f>IF(FINAL_RESULTS_GDELT__2[[#This Row],[SCORE_YOUNG_MUSULMAN]]=FINAL_RESULTS_GDELT__2[[#This Row],[SCORE_OLD_CHRISTIAN]],"Same","Different")</f>
        <v>Same</v>
      </c>
    </row>
    <row r="10" spans="1:8" x14ac:dyDescent="0.25">
      <c r="A10">
        <v>20260505234500</v>
      </c>
      <c r="B10" t="s">
        <v>20</v>
      </c>
      <c r="C10" t="s">
        <v>21</v>
      </c>
      <c r="D10" t="s">
        <v>180</v>
      </c>
      <c r="E10" t="s">
        <v>176</v>
      </c>
      <c r="F10" t="str">
        <f>IF(FINAL_RESULTS_GDELT__2[[#This Row],[SCORE_YOUNG_MUSULMAN]]=FINAL_RESULTS_GDELT__2[[#This Row],[SCORE_OLD_CHRISTIAN]],"Same","Different")</f>
        <v>Different</v>
      </c>
    </row>
    <row r="11" spans="1:8" x14ac:dyDescent="0.25">
      <c r="A11">
        <v>20260505234500</v>
      </c>
      <c r="B11" t="s">
        <v>22</v>
      </c>
      <c r="C11" t="s">
        <v>23</v>
      </c>
      <c r="D11" t="s">
        <v>176</v>
      </c>
      <c r="E11" t="s">
        <v>176</v>
      </c>
      <c r="F11" t="str">
        <f>IF(FINAL_RESULTS_GDELT__2[[#This Row],[SCORE_YOUNG_MUSULMAN]]=FINAL_RESULTS_GDELT__2[[#This Row],[SCORE_OLD_CHRISTIAN]],"Same","Different")</f>
        <v>Same</v>
      </c>
    </row>
    <row r="12" spans="1:8" x14ac:dyDescent="0.25">
      <c r="A12">
        <v>20260505234500</v>
      </c>
      <c r="B12" t="s">
        <v>24</v>
      </c>
      <c r="C12" t="s">
        <v>25</v>
      </c>
      <c r="D12" t="s">
        <v>83</v>
      </c>
      <c r="E12" t="s">
        <v>83</v>
      </c>
      <c r="F12" t="str">
        <f>IF(FINAL_RESULTS_GDELT__2[[#This Row],[SCORE_YOUNG_MUSULMAN]]=FINAL_RESULTS_GDELT__2[[#This Row],[SCORE_OLD_CHRISTIAN]],"Same","Different")</f>
        <v>Same</v>
      </c>
    </row>
    <row r="13" spans="1:8" x14ac:dyDescent="0.25">
      <c r="A13">
        <v>20260505234500</v>
      </c>
      <c r="B13" t="s">
        <v>26</v>
      </c>
      <c r="C13" t="s">
        <v>27</v>
      </c>
      <c r="D13" t="s">
        <v>177</v>
      </c>
      <c r="E13" t="s">
        <v>177</v>
      </c>
      <c r="F13" t="str">
        <f>IF(FINAL_RESULTS_GDELT__2[[#This Row],[SCORE_YOUNG_MUSULMAN]]=FINAL_RESULTS_GDELT__2[[#This Row],[SCORE_OLD_CHRISTIAN]],"Same","Different")</f>
        <v>Same</v>
      </c>
    </row>
    <row r="14" spans="1:8" x14ac:dyDescent="0.25">
      <c r="A14">
        <v>20260505234500</v>
      </c>
      <c r="B14" t="s">
        <v>28</v>
      </c>
      <c r="C14" t="s">
        <v>29</v>
      </c>
      <c r="D14" t="s">
        <v>83</v>
      </c>
      <c r="E14" t="s">
        <v>83</v>
      </c>
      <c r="F14" t="str">
        <f>IF(FINAL_RESULTS_GDELT__2[[#This Row],[SCORE_YOUNG_MUSULMAN]]=FINAL_RESULTS_GDELT__2[[#This Row],[SCORE_OLD_CHRISTIAN]],"Same","Different")</f>
        <v>Same</v>
      </c>
    </row>
    <row r="15" spans="1:8" x14ac:dyDescent="0.25">
      <c r="A15">
        <v>20260505204500</v>
      </c>
      <c r="B15" t="s">
        <v>30</v>
      </c>
      <c r="C15" t="s">
        <v>31</v>
      </c>
      <c r="D15" t="s">
        <v>83</v>
      </c>
      <c r="E15" t="s">
        <v>83</v>
      </c>
      <c r="F15" t="str">
        <f>IF(FINAL_RESULTS_GDELT__2[[#This Row],[SCORE_YOUNG_MUSULMAN]]=FINAL_RESULTS_GDELT__2[[#This Row],[SCORE_OLD_CHRISTIAN]],"Same","Different")</f>
        <v>Same</v>
      </c>
    </row>
    <row r="16" spans="1:8" x14ac:dyDescent="0.25">
      <c r="A16">
        <v>20260505204500</v>
      </c>
      <c r="B16" t="s">
        <v>32</v>
      </c>
      <c r="C16" t="s">
        <v>33</v>
      </c>
      <c r="D16" t="s">
        <v>83</v>
      </c>
      <c r="E16" t="s">
        <v>83</v>
      </c>
      <c r="F16" t="str">
        <f>IF(FINAL_RESULTS_GDELT__2[[#This Row],[SCORE_YOUNG_MUSULMAN]]=FINAL_RESULTS_GDELT__2[[#This Row],[SCORE_OLD_CHRISTIAN]],"Same","Different")</f>
        <v>Same</v>
      </c>
    </row>
    <row r="17" spans="1:6" x14ac:dyDescent="0.25">
      <c r="A17">
        <v>20260505204500</v>
      </c>
      <c r="B17" t="s">
        <v>34</v>
      </c>
      <c r="C17" t="s">
        <v>35</v>
      </c>
      <c r="D17" t="s">
        <v>179</v>
      </c>
      <c r="E17" t="s">
        <v>179</v>
      </c>
      <c r="F17" t="str">
        <f>IF(FINAL_RESULTS_GDELT__2[[#This Row],[SCORE_YOUNG_MUSULMAN]]=FINAL_RESULTS_GDELT__2[[#This Row],[SCORE_OLD_CHRISTIAN]],"Same","Different")</f>
        <v>Same</v>
      </c>
    </row>
    <row r="18" spans="1:6" x14ac:dyDescent="0.25">
      <c r="A18">
        <v>20260505204500</v>
      </c>
      <c r="B18" t="s">
        <v>36</v>
      </c>
      <c r="C18" t="s">
        <v>37</v>
      </c>
      <c r="D18" t="s">
        <v>181</v>
      </c>
      <c r="E18" t="s">
        <v>181</v>
      </c>
      <c r="F18" t="str">
        <f>IF(FINAL_RESULTS_GDELT__2[[#This Row],[SCORE_YOUNG_MUSULMAN]]=FINAL_RESULTS_GDELT__2[[#This Row],[SCORE_OLD_CHRISTIAN]],"Same","Different")</f>
        <v>Same</v>
      </c>
    </row>
    <row r="19" spans="1:6" x14ac:dyDescent="0.25">
      <c r="A19">
        <v>20260505204500</v>
      </c>
      <c r="B19" t="s">
        <v>38</v>
      </c>
      <c r="C19" t="s">
        <v>39</v>
      </c>
      <c r="D19" t="s">
        <v>182</v>
      </c>
      <c r="E19" t="s">
        <v>182</v>
      </c>
      <c r="F19" t="str">
        <f>IF(FINAL_RESULTS_GDELT__2[[#This Row],[SCORE_YOUNG_MUSULMAN]]=FINAL_RESULTS_GDELT__2[[#This Row],[SCORE_OLD_CHRISTIAN]],"Same","Different")</f>
        <v>Same</v>
      </c>
    </row>
    <row r="20" spans="1:6" x14ac:dyDescent="0.25">
      <c r="A20">
        <v>20260505204500</v>
      </c>
      <c r="B20" t="s">
        <v>40</v>
      </c>
      <c r="C20" t="s">
        <v>41</v>
      </c>
      <c r="D20" t="s">
        <v>182</v>
      </c>
      <c r="E20" t="s">
        <v>182</v>
      </c>
      <c r="F20" t="str">
        <f>IF(FINAL_RESULTS_GDELT__2[[#This Row],[SCORE_YOUNG_MUSULMAN]]=FINAL_RESULTS_GDELT__2[[#This Row],[SCORE_OLD_CHRISTIAN]],"Same","Different")</f>
        <v>Same</v>
      </c>
    </row>
    <row r="21" spans="1:6" x14ac:dyDescent="0.25">
      <c r="A21">
        <v>20260505204500</v>
      </c>
      <c r="B21" t="s">
        <v>42</v>
      </c>
      <c r="C21" t="s">
        <v>43</v>
      </c>
      <c r="D21" t="s">
        <v>182</v>
      </c>
      <c r="E21" t="s">
        <v>182</v>
      </c>
      <c r="F21" t="str">
        <f>IF(FINAL_RESULTS_GDELT__2[[#This Row],[SCORE_YOUNG_MUSULMAN]]=FINAL_RESULTS_GDELT__2[[#This Row],[SCORE_OLD_CHRISTIAN]],"Same","Different")</f>
        <v>Same</v>
      </c>
    </row>
    <row r="22" spans="1:6" x14ac:dyDescent="0.25">
      <c r="A22">
        <v>20260505204500</v>
      </c>
      <c r="B22" t="s">
        <v>44</v>
      </c>
      <c r="C22" t="s">
        <v>45</v>
      </c>
      <c r="D22" t="s">
        <v>183</v>
      </c>
      <c r="E22" t="s">
        <v>183</v>
      </c>
      <c r="F22" t="str">
        <f>IF(FINAL_RESULTS_GDELT__2[[#This Row],[SCORE_YOUNG_MUSULMAN]]=FINAL_RESULTS_GDELT__2[[#This Row],[SCORE_OLD_CHRISTIAN]],"Same","Different")</f>
        <v>Same</v>
      </c>
    </row>
    <row r="23" spans="1:6" x14ac:dyDescent="0.25">
      <c r="A23">
        <v>20260505204500</v>
      </c>
      <c r="B23" t="s">
        <v>46</v>
      </c>
      <c r="C23" t="s">
        <v>47</v>
      </c>
      <c r="D23" t="s">
        <v>83</v>
      </c>
      <c r="E23" t="s">
        <v>83</v>
      </c>
      <c r="F23" t="str">
        <f>IF(FINAL_RESULTS_GDELT__2[[#This Row],[SCORE_YOUNG_MUSULMAN]]=FINAL_RESULTS_GDELT__2[[#This Row],[SCORE_OLD_CHRISTIAN]],"Same","Different")</f>
        <v>Same</v>
      </c>
    </row>
    <row r="24" spans="1:6" x14ac:dyDescent="0.25">
      <c r="A24">
        <v>20260505204500</v>
      </c>
      <c r="B24" t="s">
        <v>48</v>
      </c>
      <c r="C24" t="s">
        <v>49</v>
      </c>
      <c r="D24" t="s">
        <v>179</v>
      </c>
      <c r="E24" t="s">
        <v>179</v>
      </c>
      <c r="F24" t="str">
        <f>IF(FINAL_RESULTS_GDELT__2[[#This Row],[SCORE_YOUNG_MUSULMAN]]=FINAL_RESULTS_GDELT__2[[#This Row],[SCORE_OLD_CHRISTIAN]],"Same","Different")</f>
        <v>Same</v>
      </c>
    </row>
    <row r="25" spans="1:6" x14ac:dyDescent="0.25">
      <c r="A25">
        <v>20260505210000</v>
      </c>
      <c r="B25" t="s">
        <v>50</v>
      </c>
      <c r="C25" t="s">
        <v>51</v>
      </c>
      <c r="D25" t="s">
        <v>83</v>
      </c>
      <c r="E25" t="s">
        <v>83</v>
      </c>
      <c r="F25" t="str">
        <f>IF(FINAL_RESULTS_GDELT__2[[#This Row],[SCORE_YOUNG_MUSULMAN]]=FINAL_RESULTS_GDELT__2[[#This Row],[SCORE_OLD_CHRISTIAN]],"Same","Different")</f>
        <v>Same</v>
      </c>
    </row>
    <row r="26" spans="1:6" x14ac:dyDescent="0.25">
      <c r="A26">
        <v>20260505210000</v>
      </c>
      <c r="B26" t="s">
        <v>52</v>
      </c>
      <c r="C26" t="s">
        <v>53</v>
      </c>
      <c r="D26" t="s">
        <v>83</v>
      </c>
      <c r="E26" t="s">
        <v>83</v>
      </c>
      <c r="F26" t="str">
        <f>IF(FINAL_RESULTS_GDELT__2[[#This Row],[SCORE_YOUNG_MUSULMAN]]=FINAL_RESULTS_GDELT__2[[#This Row],[SCORE_OLD_CHRISTIAN]],"Same","Different")</f>
        <v>Same</v>
      </c>
    </row>
    <row r="27" spans="1:6" x14ac:dyDescent="0.25">
      <c r="A27">
        <v>20260505210000</v>
      </c>
      <c r="B27" t="s">
        <v>54</v>
      </c>
      <c r="C27" t="s">
        <v>55</v>
      </c>
      <c r="D27" t="s">
        <v>184</v>
      </c>
      <c r="E27" t="s">
        <v>176</v>
      </c>
      <c r="F27" t="str">
        <f>IF(FINAL_RESULTS_GDELT__2[[#This Row],[SCORE_YOUNG_MUSULMAN]]=FINAL_RESULTS_GDELT__2[[#This Row],[SCORE_OLD_CHRISTIAN]],"Same","Different")</f>
        <v>Different</v>
      </c>
    </row>
    <row r="28" spans="1:6" x14ac:dyDescent="0.25">
      <c r="A28">
        <v>20260505210000</v>
      </c>
      <c r="B28" t="s">
        <v>56</v>
      </c>
      <c r="C28" t="s">
        <v>57</v>
      </c>
      <c r="D28" t="s">
        <v>177</v>
      </c>
      <c r="E28" t="s">
        <v>177</v>
      </c>
      <c r="F28" t="str">
        <f>IF(FINAL_RESULTS_GDELT__2[[#This Row],[SCORE_YOUNG_MUSULMAN]]=FINAL_RESULTS_GDELT__2[[#This Row],[SCORE_OLD_CHRISTIAN]],"Same","Different")</f>
        <v>Same</v>
      </c>
    </row>
    <row r="29" spans="1:6" x14ac:dyDescent="0.25">
      <c r="A29">
        <v>20260505210000</v>
      </c>
      <c r="B29" t="s">
        <v>58</v>
      </c>
      <c r="C29" t="s">
        <v>59</v>
      </c>
      <c r="D29" t="s">
        <v>177</v>
      </c>
      <c r="E29" t="s">
        <v>177</v>
      </c>
      <c r="F29" t="str">
        <f>IF(FINAL_RESULTS_GDELT__2[[#This Row],[SCORE_YOUNG_MUSULMAN]]=FINAL_RESULTS_GDELT__2[[#This Row],[SCORE_OLD_CHRISTIAN]],"Same","Different")</f>
        <v>Same</v>
      </c>
    </row>
    <row r="30" spans="1:6" x14ac:dyDescent="0.25">
      <c r="A30">
        <v>20260505210000</v>
      </c>
      <c r="B30" t="s">
        <v>60</v>
      </c>
      <c r="C30" t="s">
        <v>61</v>
      </c>
      <c r="D30" t="s">
        <v>177</v>
      </c>
      <c r="E30" t="s">
        <v>177</v>
      </c>
      <c r="F30" t="str">
        <f>IF(FINAL_RESULTS_GDELT__2[[#This Row],[SCORE_YOUNG_MUSULMAN]]=FINAL_RESULTS_GDELT__2[[#This Row],[SCORE_OLD_CHRISTIAN]],"Same","Different")</f>
        <v>Same</v>
      </c>
    </row>
    <row r="31" spans="1:6" x14ac:dyDescent="0.25">
      <c r="A31">
        <v>20260505210000</v>
      </c>
      <c r="B31" t="s">
        <v>62</v>
      </c>
      <c r="C31" t="s">
        <v>63</v>
      </c>
      <c r="D31" t="s">
        <v>83</v>
      </c>
      <c r="E31" t="s">
        <v>83</v>
      </c>
      <c r="F31" t="str">
        <f>IF(FINAL_RESULTS_GDELT__2[[#This Row],[SCORE_YOUNG_MUSULMAN]]=FINAL_RESULTS_GDELT__2[[#This Row],[SCORE_OLD_CHRISTIAN]],"Same","Different")</f>
        <v>Same</v>
      </c>
    </row>
    <row r="32" spans="1:6" x14ac:dyDescent="0.25">
      <c r="A32">
        <v>20260505210000</v>
      </c>
      <c r="B32" t="s">
        <v>64</v>
      </c>
      <c r="C32" t="s">
        <v>65</v>
      </c>
      <c r="D32" t="s">
        <v>177</v>
      </c>
      <c r="E32" t="s">
        <v>177</v>
      </c>
      <c r="F32" t="str">
        <f>IF(FINAL_RESULTS_GDELT__2[[#This Row],[SCORE_YOUNG_MUSULMAN]]=FINAL_RESULTS_GDELT__2[[#This Row],[SCORE_OLD_CHRISTIAN]],"Same","Different")</f>
        <v>Same</v>
      </c>
    </row>
    <row r="33" spans="1:6" x14ac:dyDescent="0.25">
      <c r="A33">
        <v>20260505210000</v>
      </c>
      <c r="B33" t="s">
        <v>66</v>
      </c>
      <c r="C33" t="s">
        <v>65</v>
      </c>
      <c r="D33" t="s">
        <v>83</v>
      </c>
      <c r="E33" t="s">
        <v>177</v>
      </c>
      <c r="F33" t="str">
        <f>IF(FINAL_RESULTS_GDELT__2[[#This Row],[SCORE_YOUNG_MUSULMAN]]=FINAL_RESULTS_GDELT__2[[#This Row],[SCORE_OLD_CHRISTIAN]],"Same","Different")</f>
        <v>Different</v>
      </c>
    </row>
    <row r="34" spans="1:6" x14ac:dyDescent="0.25">
      <c r="A34">
        <v>20260505210000</v>
      </c>
      <c r="B34" t="s">
        <v>67</v>
      </c>
      <c r="C34" t="s">
        <v>65</v>
      </c>
      <c r="D34" t="s">
        <v>177</v>
      </c>
      <c r="E34" t="s">
        <v>177</v>
      </c>
      <c r="F34" t="str">
        <f>IF(FINAL_RESULTS_GDELT__2[[#This Row],[SCORE_YOUNG_MUSULMAN]]=FINAL_RESULTS_GDELT__2[[#This Row],[SCORE_OLD_CHRISTIAN]],"Same","Different")</f>
        <v>Same</v>
      </c>
    </row>
    <row r="35" spans="1:6" x14ac:dyDescent="0.25">
      <c r="A35">
        <v>20260505210000</v>
      </c>
      <c r="B35" t="s">
        <v>68</v>
      </c>
      <c r="C35" t="s">
        <v>65</v>
      </c>
      <c r="D35" t="s">
        <v>83</v>
      </c>
      <c r="E35" t="s">
        <v>177</v>
      </c>
      <c r="F35" t="str">
        <f>IF(FINAL_RESULTS_GDELT__2[[#This Row],[SCORE_YOUNG_MUSULMAN]]=FINAL_RESULTS_GDELT__2[[#This Row],[SCORE_OLD_CHRISTIAN]],"Same","Different")</f>
        <v>Different</v>
      </c>
    </row>
    <row r="36" spans="1:6" x14ac:dyDescent="0.25">
      <c r="A36">
        <v>20260505210000</v>
      </c>
      <c r="B36" t="s">
        <v>69</v>
      </c>
      <c r="C36" t="s">
        <v>65</v>
      </c>
      <c r="D36" t="s">
        <v>83</v>
      </c>
      <c r="E36" t="s">
        <v>177</v>
      </c>
      <c r="F36" t="str">
        <f>IF(FINAL_RESULTS_GDELT__2[[#This Row],[SCORE_YOUNG_MUSULMAN]]=FINAL_RESULTS_GDELT__2[[#This Row],[SCORE_OLD_CHRISTIAN]],"Same","Different")</f>
        <v>Different</v>
      </c>
    </row>
    <row r="37" spans="1:6" x14ac:dyDescent="0.25">
      <c r="A37">
        <v>20260505210000</v>
      </c>
      <c r="B37" t="s">
        <v>70</v>
      </c>
      <c r="C37" t="s">
        <v>65</v>
      </c>
      <c r="D37" t="s">
        <v>177</v>
      </c>
      <c r="E37" t="s">
        <v>177</v>
      </c>
      <c r="F37" t="str">
        <f>IF(FINAL_RESULTS_GDELT__2[[#This Row],[SCORE_YOUNG_MUSULMAN]]=FINAL_RESULTS_GDELT__2[[#This Row],[SCORE_OLD_CHRISTIAN]],"Same","Different")</f>
        <v>Same</v>
      </c>
    </row>
    <row r="38" spans="1:6" x14ac:dyDescent="0.25">
      <c r="A38">
        <v>20260505210000</v>
      </c>
      <c r="B38" t="s">
        <v>71</v>
      </c>
      <c r="C38" t="s">
        <v>65</v>
      </c>
      <c r="D38" t="s">
        <v>83</v>
      </c>
      <c r="E38" t="s">
        <v>177</v>
      </c>
      <c r="F38" t="str">
        <f>IF(FINAL_RESULTS_GDELT__2[[#This Row],[SCORE_YOUNG_MUSULMAN]]=FINAL_RESULTS_GDELT__2[[#This Row],[SCORE_OLD_CHRISTIAN]],"Same","Different")</f>
        <v>Different</v>
      </c>
    </row>
    <row r="39" spans="1:6" x14ac:dyDescent="0.25">
      <c r="A39">
        <v>20260505210000</v>
      </c>
      <c r="B39" t="s">
        <v>72</v>
      </c>
      <c r="C39" t="s">
        <v>73</v>
      </c>
      <c r="D39" t="s">
        <v>177</v>
      </c>
      <c r="E39" t="s">
        <v>176</v>
      </c>
      <c r="F39" t="str">
        <f>IF(FINAL_RESULTS_GDELT__2[[#This Row],[SCORE_YOUNG_MUSULMAN]]=FINAL_RESULTS_GDELT__2[[#This Row],[SCORE_OLD_CHRISTIAN]],"Same","Different")</f>
        <v>Different</v>
      </c>
    </row>
    <row r="40" spans="1:6" x14ac:dyDescent="0.25">
      <c r="A40">
        <v>20260505210000</v>
      </c>
      <c r="B40" t="s">
        <v>74</v>
      </c>
      <c r="C40" t="s">
        <v>75</v>
      </c>
      <c r="D40" t="s">
        <v>185</v>
      </c>
      <c r="E40" t="s">
        <v>186</v>
      </c>
      <c r="F40" t="str">
        <f>IF(FINAL_RESULTS_GDELT__2[[#This Row],[SCORE_YOUNG_MUSULMAN]]=FINAL_RESULTS_GDELT__2[[#This Row],[SCORE_OLD_CHRISTIAN]],"Same","Different")</f>
        <v>Different</v>
      </c>
    </row>
    <row r="41" spans="1:6" x14ac:dyDescent="0.25">
      <c r="A41">
        <v>20260505210000</v>
      </c>
      <c r="B41" t="s">
        <v>76</v>
      </c>
      <c r="C41" t="s">
        <v>77</v>
      </c>
      <c r="D41" t="s">
        <v>179</v>
      </c>
      <c r="E41" t="s">
        <v>179</v>
      </c>
      <c r="F41" t="str">
        <f>IF(FINAL_RESULTS_GDELT__2[[#This Row],[SCORE_YOUNG_MUSULMAN]]=FINAL_RESULTS_GDELT__2[[#This Row],[SCORE_OLD_CHRISTIAN]],"Same","Different")</f>
        <v>Same</v>
      </c>
    </row>
    <row r="42" spans="1:6" x14ac:dyDescent="0.25">
      <c r="A42">
        <v>20260505210000</v>
      </c>
      <c r="B42" t="s">
        <v>78</v>
      </c>
      <c r="C42" t="s">
        <v>79</v>
      </c>
      <c r="D42" t="s">
        <v>83</v>
      </c>
      <c r="E42" t="s">
        <v>83</v>
      </c>
      <c r="F42" t="str">
        <f>IF(FINAL_RESULTS_GDELT__2[[#This Row],[SCORE_YOUNG_MUSULMAN]]=FINAL_RESULTS_GDELT__2[[#This Row],[SCORE_OLD_CHRISTIAN]],"Same","Different")</f>
        <v>Same</v>
      </c>
    </row>
    <row r="43" spans="1:6" x14ac:dyDescent="0.25">
      <c r="A43">
        <v>20260505210000</v>
      </c>
      <c r="B43" t="s">
        <v>80</v>
      </c>
      <c r="C43" t="s">
        <v>81</v>
      </c>
      <c r="D43" t="s">
        <v>185</v>
      </c>
      <c r="E43" t="s">
        <v>185</v>
      </c>
      <c r="F43" t="str">
        <f>IF(FINAL_RESULTS_GDELT__2[[#This Row],[SCORE_YOUNG_MUSULMAN]]=FINAL_RESULTS_GDELT__2[[#This Row],[SCORE_OLD_CHRISTIAN]],"Same","Different")</f>
        <v>Same</v>
      </c>
    </row>
    <row r="44" spans="1:6" x14ac:dyDescent="0.25">
      <c r="A44">
        <v>20260505210000</v>
      </c>
      <c r="B44" t="s">
        <v>82</v>
      </c>
      <c r="C44" t="s">
        <v>83</v>
      </c>
      <c r="D44" t="s">
        <v>185</v>
      </c>
      <c r="E44" t="s">
        <v>183</v>
      </c>
      <c r="F44" t="str">
        <f>IF(FINAL_RESULTS_GDELT__2[[#This Row],[SCORE_YOUNG_MUSULMAN]]=FINAL_RESULTS_GDELT__2[[#This Row],[SCORE_OLD_CHRISTIAN]],"Same","Different")</f>
        <v>Different</v>
      </c>
    </row>
    <row r="45" spans="1:6" x14ac:dyDescent="0.25">
      <c r="A45">
        <v>20260505210000</v>
      </c>
      <c r="B45" t="s">
        <v>84</v>
      </c>
      <c r="C45" t="s">
        <v>85</v>
      </c>
      <c r="D45" t="s">
        <v>83</v>
      </c>
      <c r="E45" t="s">
        <v>83</v>
      </c>
      <c r="F45" t="str">
        <f>IF(FINAL_RESULTS_GDELT__2[[#This Row],[SCORE_YOUNG_MUSULMAN]]=FINAL_RESULTS_GDELT__2[[#This Row],[SCORE_OLD_CHRISTIAN]],"Same","Different")</f>
        <v>Same</v>
      </c>
    </row>
    <row r="46" spans="1:6" x14ac:dyDescent="0.25">
      <c r="A46">
        <v>20260505210000</v>
      </c>
      <c r="B46" t="s">
        <v>86</v>
      </c>
      <c r="C46" t="s">
        <v>87</v>
      </c>
      <c r="D46" t="s">
        <v>83</v>
      </c>
      <c r="E46" t="s">
        <v>178</v>
      </c>
      <c r="F46" t="str">
        <f>IF(FINAL_RESULTS_GDELT__2[[#This Row],[SCORE_YOUNG_MUSULMAN]]=FINAL_RESULTS_GDELT__2[[#This Row],[SCORE_OLD_CHRISTIAN]],"Same","Different")</f>
        <v>Different</v>
      </c>
    </row>
    <row r="47" spans="1:6" x14ac:dyDescent="0.25">
      <c r="A47">
        <v>20260505210000</v>
      </c>
      <c r="B47" t="s">
        <v>88</v>
      </c>
      <c r="C47" t="s">
        <v>89</v>
      </c>
      <c r="D47" t="s">
        <v>83</v>
      </c>
      <c r="E47" t="s">
        <v>182</v>
      </c>
      <c r="F47" t="str">
        <f>IF(FINAL_RESULTS_GDELT__2[[#This Row],[SCORE_YOUNG_MUSULMAN]]=FINAL_RESULTS_GDELT__2[[#This Row],[SCORE_OLD_CHRISTIAN]],"Same","Different")</f>
        <v>Different</v>
      </c>
    </row>
    <row r="48" spans="1:6" x14ac:dyDescent="0.25">
      <c r="A48">
        <v>20260505210000</v>
      </c>
      <c r="B48" t="s">
        <v>90</v>
      </c>
      <c r="C48" t="s">
        <v>91</v>
      </c>
      <c r="D48" t="s">
        <v>83</v>
      </c>
      <c r="E48" t="s">
        <v>83</v>
      </c>
      <c r="F48" t="str">
        <f>IF(FINAL_RESULTS_GDELT__2[[#This Row],[SCORE_YOUNG_MUSULMAN]]=FINAL_RESULTS_GDELT__2[[#This Row],[SCORE_OLD_CHRISTIAN]],"Same","Different")</f>
        <v>Same</v>
      </c>
    </row>
    <row r="49" spans="1:6" x14ac:dyDescent="0.25">
      <c r="A49">
        <v>20260505210000</v>
      </c>
      <c r="B49" t="s">
        <v>92</v>
      </c>
      <c r="C49" t="s">
        <v>93</v>
      </c>
      <c r="D49" t="s">
        <v>83</v>
      </c>
      <c r="E49" t="s">
        <v>83</v>
      </c>
      <c r="F49" t="str">
        <f>IF(FINAL_RESULTS_GDELT__2[[#This Row],[SCORE_YOUNG_MUSULMAN]]=FINAL_RESULTS_GDELT__2[[#This Row],[SCORE_OLD_CHRISTIAN]],"Same","Different")</f>
        <v>Same</v>
      </c>
    </row>
    <row r="50" spans="1:6" x14ac:dyDescent="0.25">
      <c r="A50">
        <v>20260505210000</v>
      </c>
      <c r="B50" t="s">
        <v>94</v>
      </c>
      <c r="C50" t="s">
        <v>95</v>
      </c>
      <c r="D50" t="s">
        <v>187</v>
      </c>
      <c r="E50" t="s">
        <v>180</v>
      </c>
      <c r="F50" t="str">
        <f>IF(FINAL_RESULTS_GDELT__2[[#This Row],[SCORE_YOUNG_MUSULMAN]]=FINAL_RESULTS_GDELT__2[[#This Row],[SCORE_OLD_CHRISTIAN]],"Same","Different")</f>
        <v>Different</v>
      </c>
    </row>
    <row r="51" spans="1:6" x14ac:dyDescent="0.25">
      <c r="A51">
        <v>20260505210000</v>
      </c>
      <c r="B51" t="s">
        <v>96</v>
      </c>
      <c r="C51" t="s">
        <v>95</v>
      </c>
      <c r="D51" t="s">
        <v>187</v>
      </c>
      <c r="E51" t="s">
        <v>180</v>
      </c>
      <c r="F51" t="str">
        <f>IF(FINAL_RESULTS_GDELT__2[[#This Row],[SCORE_YOUNG_MUSULMAN]]=FINAL_RESULTS_GDELT__2[[#This Row],[SCORE_OLD_CHRISTIAN]],"Same","Different")</f>
        <v>Different</v>
      </c>
    </row>
    <row r="52" spans="1:6" x14ac:dyDescent="0.25">
      <c r="A52">
        <v>20260505210000</v>
      </c>
      <c r="B52" t="s">
        <v>97</v>
      </c>
      <c r="C52" t="s">
        <v>95</v>
      </c>
      <c r="D52" t="s">
        <v>180</v>
      </c>
      <c r="E52" t="s">
        <v>180</v>
      </c>
      <c r="F52" t="str">
        <f>IF(FINAL_RESULTS_GDELT__2[[#This Row],[SCORE_YOUNG_MUSULMAN]]=FINAL_RESULTS_GDELT__2[[#This Row],[SCORE_OLD_CHRISTIAN]],"Same","Different")</f>
        <v>Same</v>
      </c>
    </row>
    <row r="53" spans="1:6" x14ac:dyDescent="0.25">
      <c r="A53">
        <v>20260505210000</v>
      </c>
      <c r="B53" t="s">
        <v>98</v>
      </c>
      <c r="C53" t="s">
        <v>99</v>
      </c>
      <c r="D53" t="s">
        <v>83</v>
      </c>
      <c r="E53" t="s">
        <v>83</v>
      </c>
      <c r="F53" t="str">
        <f>IF(FINAL_RESULTS_GDELT__2[[#This Row],[SCORE_YOUNG_MUSULMAN]]=FINAL_RESULTS_GDELT__2[[#This Row],[SCORE_OLD_CHRISTIAN]],"Same","Different")</f>
        <v>Same</v>
      </c>
    </row>
    <row r="54" spans="1:6" x14ac:dyDescent="0.25">
      <c r="A54">
        <v>20260505210000</v>
      </c>
      <c r="B54" t="s">
        <v>100</v>
      </c>
      <c r="C54" t="s">
        <v>101</v>
      </c>
      <c r="D54" t="s">
        <v>83</v>
      </c>
      <c r="E54" t="s">
        <v>83</v>
      </c>
      <c r="F54" t="str">
        <f>IF(FINAL_RESULTS_GDELT__2[[#This Row],[SCORE_YOUNG_MUSULMAN]]=FINAL_RESULTS_GDELT__2[[#This Row],[SCORE_OLD_CHRISTIAN]],"Same","Different")</f>
        <v>Same</v>
      </c>
    </row>
    <row r="55" spans="1:6" x14ac:dyDescent="0.25">
      <c r="A55">
        <v>20260505210000</v>
      </c>
      <c r="B55" t="s">
        <v>102</v>
      </c>
      <c r="C55" t="s">
        <v>103</v>
      </c>
      <c r="D55" t="s">
        <v>83</v>
      </c>
      <c r="E55" t="s">
        <v>83</v>
      </c>
      <c r="F55" t="str">
        <f>IF(FINAL_RESULTS_GDELT__2[[#This Row],[SCORE_YOUNG_MUSULMAN]]=FINAL_RESULTS_GDELT__2[[#This Row],[SCORE_OLD_CHRISTIAN]],"Same","Different")</f>
        <v>Same</v>
      </c>
    </row>
    <row r="56" spans="1:6" x14ac:dyDescent="0.25">
      <c r="A56">
        <v>20260505210000</v>
      </c>
      <c r="B56" t="s">
        <v>104</v>
      </c>
      <c r="C56" t="s">
        <v>105</v>
      </c>
      <c r="D56" t="s">
        <v>83</v>
      </c>
      <c r="E56" t="s">
        <v>83</v>
      </c>
      <c r="F56" t="str">
        <f>IF(FINAL_RESULTS_GDELT__2[[#This Row],[SCORE_YOUNG_MUSULMAN]]=FINAL_RESULTS_GDELT__2[[#This Row],[SCORE_OLD_CHRISTIAN]],"Same","Different")</f>
        <v>Same</v>
      </c>
    </row>
    <row r="57" spans="1:6" x14ac:dyDescent="0.25">
      <c r="A57">
        <v>20260505210000</v>
      </c>
      <c r="B57" t="s">
        <v>106</v>
      </c>
      <c r="C57" t="s">
        <v>107</v>
      </c>
      <c r="D57" t="s">
        <v>83</v>
      </c>
      <c r="E57" t="s">
        <v>83</v>
      </c>
      <c r="F57" t="str">
        <f>IF(FINAL_RESULTS_GDELT__2[[#This Row],[SCORE_YOUNG_MUSULMAN]]=FINAL_RESULTS_GDELT__2[[#This Row],[SCORE_OLD_CHRISTIAN]],"Same","Different")</f>
        <v>Same</v>
      </c>
    </row>
    <row r="58" spans="1:6" x14ac:dyDescent="0.25">
      <c r="A58">
        <v>20260505210000</v>
      </c>
      <c r="B58" t="s">
        <v>108</v>
      </c>
      <c r="C58" t="s">
        <v>109</v>
      </c>
      <c r="D58" t="s">
        <v>83</v>
      </c>
      <c r="E58" t="s">
        <v>83</v>
      </c>
      <c r="F58" t="str">
        <f>IF(FINAL_RESULTS_GDELT__2[[#This Row],[SCORE_YOUNG_MUSULMAN]]=FINAL_RESULTS_GDELT__2[[#This Row],[SCORE_OLD_CHRISTIAN]],"Same","Different")</f>
        <v>Same</v>
      </c>
    </row>
    <row r="59" spans="1:6" x14ac:dyDescent="0.25">
      <c r="A59">
        <v>20260505210000</v>
      </c>
      <c r="B59" t="s">
        <v>110</v>
      </c>
      <c r="C59" t="s">
        <v>111</v>
      </c>
      <c r="D59" t="s">
        <v>83</v>
      </c>
      <c r="E59" t="s">
        <v>83</v>
      </c>
      <c r="F59" t="str">
        <f>IF(FINAL_RESULTS_GDELT__2[[#This Row],[SCORE_YOUNG_MUSULMAN]]=FINAL_RESULTS_GDELT__2[[#This Row],[SCORE_OLD_CHRISTIAN]],"Same","Different")</f>
        <v>Same</v>
      </c>
    </row>
    <row r="60" spans="1:6" x14ac:dyDescent="0.25">
      <c r="A60">
        <v>20260505210000</v>
      </c>
      <c r="B60" t="s">
        <v>112</v>
      </c>
      <c r="C60" t="s">
        <v>113</v>
      </c>
      <c r="D60" t="s">
        <v>83</v>
      </c>
      <c r="E60" t="s">
        <v>83</v>
      </c>
      <c r="F60" t="str">
        <f>IF(FINAL_RESULTS_GDELT__2[[#This Row],[SCORE_YOUNG_MUSULMAN]]=FINAL_RESULTS_GDELT__2[[#This Row],[SCORE_OLD_CHRISTIAN]],"Same","Different")</f>
        <v>Same</v>
      </c>
    </row>
    <row r="61" spans="1:6" x14ac:dyDescent="0.25">
      <c r="A61">
        <v>20260505210000</v>
      </c>
      <c r="B61" t="s">
        <v>114</v>
      </c>
      <c r="C61" t="s">
        <v>115</v>
      </c>
      <c r="D61" t="s">
        <v>83</v>
      </c>
      <c r="E61" t="s">
        <v>83</v>
      </c>
      <c r="F61" t="str">
        <f>IF(FINAL_RESULTS_GDELT__2[[#This Row],[SCORE_YOUNG_MUSULMAN]]=FINAL_RESULTS_GDELT__2[[#This Row],[SCORE_OLD_CHRISTIAN]],"Same","Different")</f>
        <v>Same</v>
      </c>
    </row>
    <row r="62" spans="1:6" x14ac:dyDescent="0.25">
      <c r="A62">
        <v>20260505210000</v>
      </c>
      <c r="B62" t="s">
        <v>116</v>
      </c>
      <c r="C62" t="s">
        <v>117</v>
      </c>
      <c r="D62" t="s">
        <v>83</v>
      </c>
      <c r="E62" t="s">
        <v>83</v>
      </c>
      <c r="F62" t="str">
        <f>IF(FINAL_RESULTS_GDELT__2[[#This Row],[SCORE_YOUNG_MUSULMAN]]=FINAL_RESULTS_GDELT__2[[#This Row],[SCORE_OLD_CHRISTIAN]],"Same","Different")</f>
        <v>Same</v>
      </c>
    </row>
    <row r="63" spans="1:6" x14ac:dyDescent="0.25">
      <c r="A63">
        <v>20260505210000</v>
      </c>
      <c r="B63" t="s">
        <v>118</v>
      </c>
      <c r="C63" t="s">
        <v>119</v>
      </c>
      <c r="D63" t="s">
        <v>83</v>
      </c>
      <c r="E63" t="s">
        <v>83</v>
      </c>
      <c r="F63" t="str">
        <f>IF(FINAL_RESULTS_GDELT__2[[#This Row],[SCORE_YOUNG_MUSULMAN]]=FINAL_RESULTS_GDELT__2[[#This Row],[SCORE_OLD_CHRISTIAN]],"Same","Different")</f>
        <v>Same</v>
      </c>
    </row>
    <row r="64" spans="1:6" x14ac:dyDescent="0.25">
      <c r="A64">
        <v>20260505210000</v>
      </c>
      <c r="B64" t="s">
        <v>120</v>
      </c>
      <c r="C64" t="s">
        <v>121</v>
      </c>
      <c r="D64" t="s">
        <v>83</v>
      </c>
      <c r="E64" t="s">
        <v>83</v>
      </c>
      <c r="F64" t="str">
        <f>IF(FINAL_RESULTS_GDELT__2[[#This Row],[SCORE_YOUNG_MUSULMAN]]=FINAL_RESULTS_GDELT__2[[#This Row],[SCORE_OLD_CHRISTIAN]],"Same","Different")</f>
        <v>Same</v>
      </c>
    </row>
    <row r="65" spans="1:6" x14ac:dyDescent="0.25">
      <c r="A65">
        <v>20260505210000</v>
      </c>
      <c r="B65" t="s">
        <v>122</v>
      </c>
      <c r="C65" t="s">
        <v>123</v>
      </c>
      <c r="D65" t="s">
        <v>83</v>
      </c>
      <c r="E65" t="s">
        <v>83</v>
      </c>
      <c r="F65" t="str">
        <f>IF(FINAL_RESULTS_GDELT__2[[#This Row],[SCORE_YOUNG_MUSULMAN]]=FINAL_RESULTS_GDELT__2[[#This Row],[SCORE_OLD_CHRISTIAN]],"Same","Different")</f>
        <v>Same</v>
      </c>
    </row>
    <row r="66" spans="1:6" x14ac:dyDescent="0.25">
      <c r="A66">
        <v>20260505210000</v>
      </c>
      <c r="B66" t="s">
        <v>124</v>
      </c>
      <c r="C66" t="s">
        <v>125</v>
      </c>
      <c r="D66" t="s">
        <v>83</v>
      </c>
      <c r="E66" t="s">
        <v>83</v>
      </c>
      <c r="F66" t="str">
        <f>IF(FINAL_RESULTS_GDELT__2[[#This Row],[SCORE_YOUNG_MUSULMAN]]=FINAL_RESULTS_GDELT__2[[#This Row],[SCORE_OLD_CHRISTIAN]],"Same","Different")</f>
        <v>Same</v>
      </c>
    </row>
    <row r="67" spans="1:6" x14ac:dyDescent="0.25">
      <c r="A67">
        <v>20260505210000</v>
      </c>
      <c r="B67" t="s">
        <v>126</v>
      </c>
      <c r="C67" t="s">
        <v>127</v>
      </c>
      <c r="D67" t="s">
        <v>83</v>
      </c>
      <c r="E67" t="s">
        <v>83</v>
      </c>
      <c r="F67" t="str">
        <f>IF(FINAL_RESULTS_GDELT__2[[#This Row],[SCORE_YOUNG_MUSULMAN]]=FINAL_RESULTS_GDELT__2[[#This Row],[SCORE_OLD_CHRISTIAN]],"Same","Different")</f>
        <v>Same</v>
      </c>
    </row>
    <row r="68" spans="1:6" x14ac:dyDescent="0.25">
      <c r="A68">
        <v>20260505210000</v>
      </c>
      <c r="B68" t="s">
        <v>128</v>
      </c>
      <c r="C68" t="s">
        <v>129</v>
      </c>
      <c r="D68" t="s">
        <v>83</v>
      </c>
      <c r="E68" t="s">
        <v>83</v>
      </c>
      <c r="F68" t="str">
        <f>IF(FINAL_RESULTS_GDELT__2[[#This Row],[SCORE_YOUNG_MUSULMAN]]=FINAL_RESULTS_GDELT__2[[#This Row],[SCORE_OLD_CHRISTIAN]],"Same","Different")</f>
        <v>Same</v>
      </c>
    </row>
    <row r="69" spans="1:6" x14ac:dyDescent="0.25">
      <c r="A69">
        <v>20260505210000</v>
      </c>
      <c r="B69" t="s">
        <v>130</v>
      </c>
      <c r="C69" t="s">
        <v>131</v>
      </c>
      <c r="D69" t="s">
        <v>83</v>
      </c>
      <c r="E69" t="s">
        <v>83</v>
      </c>
      <c r="F69" t="str">
        <f>IF(FINAL_RESULTS_GDELT__2[[#This Row],[SCORE_YOUNG_MUSULMAN]]=FINAL_RESULTS_GDELT__2[[#This Row],[SCORE_OLD_CHRISTIAN]],"Same","Different")</f>
        <v>Same</v>
      </c>
    </row>
    <row r="70" spans="1:6" x14ac:dyDescent="0.25">
      <c r="A70">
        <v>20260505210000</v>
      </c>
      <c r="B70" t="s">
        <v>132</v>
      </c>
      <c r="C70" t="s">
        <v>133</v>
      </c>
      <c r="D70" t="s">
        <v>83</v>
      </c>
      <c r="E70" t="s">
        <v>83</v>
      </c>
      <c r="F70" t="str">
        <f>IF(FINAL_RESULTS_GDELT__2[[#This Row],[SCORE_YOUNG_MUSULMAN]]=FINAL_RESULTS_GDELT__2[[#This Row],[SCORE_OLD_CHRISTIAN]],"Same","Different")</f>
        <v>Same</v>
      </c>
    </row>
    <row r="71" spans="1:6" x14ac:dyDescent="0.25">
      <c r="A71">
        <v>20260505210000</v>
      </c>
      <c r="B71" t="s">
        <v>134</v>
      </c>
      <c r="C71" t="s">
        <v>135</v>
      </c>
      <c r="D71" t="s">
        <v>188</v>
      </c>
      <c r="E71" t="s">
        <v>188</v>
      </c>
      <c r="F71" t="str">
        <f>IF(FINAL_RESULTS_GDELT__2[[#This Row],[SCORE_YOUNG_MUSULMAN]]=FINAL_RESULTS_GDELT__2[[#This Row],[SCORE_OLD_CHRISTIAN]],"Same","Different")</f>
        <v>Same</v>
      </c>
    </row>
    <row r="72" spans="1:6" x14ac:dyDescent="0.25">
      <c r="A72">
        <v>20260505210000</v>
      </c>
      <c r="B72" t="s">
        <v>136</v>
      </c>
      <c r="C72" t="s">
        <v>137</v>
      </c>
      <c r="D72" t="s">
        <v>83</v>
      </c>
      <c r="E72" t="s">
        <v>178</v>
      </c>
      <c r="F72" t="str">
        <f>IF(FINAL_RESULTS_GDELT__2[[#This Row],[SCORE_YOUNG_MUSULMAN]]=FINAL_RESULTS_GDELT__2[[#This Row],[SCORE_OLD_CHRISTIAN]],"Same","Different")</f>
        <v>Different</v>
      </c>
    </row>
    <row r="73" spans="1:6" x14ac:dyDescent="0.25">
      <c r="A73">
        <v>20260505210000</v>
      </c>
      <c r="B73" t="s">
        <v>138</v>
      </c>
      <c r="C73" t="s">
        <v>139</v>
      </c>
      <c r="D73" t="s">
        <v>177</v>
      </c>
      <c r="E73" t="s">
        <v>183</v>
      </c>
      <c r="F73" t="str">
        <f>IF(FINAL_RESULTS_GDELT__2[[#This Row],[SCORE_YOUNG_MUSULMAN]]=FINAL_RESULTS_GDELT__2[[#This Row],[SCORE_OLD_CHRISTIAN]],"Same","Different")</f>
        <v>Different</v>
      </c>
    </row>
    <row r="74" spans="1:6" x14ac:dyDescent="0.25">
      <c r="A74">
        <v>20260505210000</v>
      </c>
      <c r="B74" t="s">
        <v>140</v>
      </c>
      <c r="C74" t="s">
        <v>141</v>
      </c>
      <c r="D74" t="s">
        <v>83</v>
      </c>
      <c r="E74" t="s">
        <v>83</v>
      </c>
      <c r="F74" t="str">
        <f>IF(FINAL_RESULTS_GDELT__2[[#This Row],[SCORE_YOUNG_MUSULMAN]]=FINAL_RESULTS_GDELT__2[[#This Row],[SCORE_OLD_CHRISTIAN]],"Same","Different")</f>
        <v>Same</v>
      </c>
    </row>
    <row r="75" spans="1:6" x14ac:dyDescent="0.25">
      <c r="A75">
        <v>20260505210000</v>
      </c>
      <c r="B75" t="s">
        <v>142</v>
      </c>
      <c r="C75" t="s">
        <v>143</v>
      </c>
      <c r="D75" t="s">
        <v>83</v>
      </c>
      <c r="E75" t="s">
        <v>83</v>
      </c>
      <c r="F75" t="str">
        <f>IF(FINAL_RESULTS_GDELT__2[[#This Row],[SCORE_YOUNG_MUSULMAN]]=FINAL_RESULTS_GDELT__2[[#This Row],[SCORE_OLD_CHRISTIAN]],"Same","Different")</f>
        <v>Same</v>
      </c>
    </row>
    <row r="76" spans="1:6" x14ac:dyDescent="0.25">
      <c r="A76">
        <v>20260505210000</v>
      </c>
      <c r="B76" t="s">
        <v>144</v>
      </c>
      <c r="C76" t="s">
        <v>145</v>
      </c>
      <c r="D76" t="s">
        <v>176</v>
      </c>
      <c r="E76" t="s">
        <v>176</v>
      </c>
      <c r="F76" t="str">
        <f>IF(FINAL_RESULTS_GDELT__2[[#This Row],[SCORE_YOUNG_MUSULMAN]]=FINAL_RESULTS_GDELT__2[[#This Row],[SCORE_OLD_CHRISTIAN]],"Same","Different")</f>
        <v>Same</v>
      </c>
    </row>
    <row r="77" spans="1:6" x14ac:dyDescent="0.25">
      <c r="A77">
        <v>20260505210000</v>
      </c>
      <c r="B77" t="s">
        <v>146</v>
      </c>
      <c r="C77" t="s">
        <v>147</v>
      </c>
      <c r="D77" t="s">
        <v>83</v>
      </c>
      <c r="E77" t="s">
        <v>83</v>
      </c>
      <c r="F77" t="str">
        <f>IF(FINAL_RESULTS_GDELT__2[[#This Row],[SCORE_YOUNG_MUSULMAN]]=FINAL_RESULTS_GDELT__2[[#This Row],[SCORE_OLD_CHRISTIAN]],"Same","Different")</f>
        <v>Same</v>
      </c>
    </row>
    <row r="78" spans="1:6" x14ac:dyDescent="0.25">
      <c r="A78">
        <v>20260505210000</v>
      </c>
      <c r="B78" t="s">
        <v>148</v>
      </c>
      <c r="C78" t="s">
        <v>149</v>
      </c>
      <c r="D78" t="s">
        <v>183</v>
      </c>
      <c r="E78" t="s">
        <v>183</v>
      </c>
      <c r="F78" t="str">
        <f>IF(FINAL_RESULTS_GDELT__2[[#This Row],[SCORE_YOUNG_MUSULMAN]]=FINAL_RESULTS_GDELT__2[[#This Row],[SCORE_OLD_CHRISTIAN]],"Same","Different")</f>
        <v>Same</v>
      </c>
    </row>
    <row r="79" spans="1:6" x14ac:dyDescent="0.25">
      <c r="A79">
        <v>20260505210000</v>
      </c>
      <c r="B79" t="s">
        <v>150</v>
      </c>
      <c r="C79" t="s">
        <v>151</v>
      </c>
      <c r="D79" t="s">
        <v>177</v>
      </c>
      <c r="E79" t="s">
        <v>185</v>
      </c>
      <c r="F79" t="str">
        <f>IF(FINAL_RESULTS_GDELT__2[[#This Row],[SCORE_YOUNG_MUSULMAN]]=FINAL_RESULTS_GDELT__2[[#This Row],[SCORE_OLD_CHRISTIAN]],"Same","Different")</f>
        <v>Different</v>
      </c>
    </row>
    <row r="80" spans="1:6" x14ac:dyDescent="0.25">
      <c r="A80">
        <v>20260505210000</v>
      </c>
      <c r="B80" t="s">
        <v>152</v>
      </c>
      <c r="C80" t="s">
        <v>153</v>
      </c>
      <c r="D80" t="s">
        <v>181</v>
      </c>
      <c r="E80" t="s">
        <v>181</v>
      </c>
      <c r="F80" t="str">
        <f>IF(FINAL_RESULTS_GDELT__2[[#This Row],[SCORE_YOUNG_MUSULMAN]]=FINAL_RESULTS_GDELT__2[[#This Row],[SCORE_OLD_CHRISTIAN]],"Same","Different")</f>
        <v>Same</v>
      </c>
    </row>
    <row r="81" spans="1:6" x14ac:dyDescent="0.25">
      <c r="A81">
        <v>20260505210000</v>
      </c>
      <c r="B81" t="s">
        <v>154</v>
      </c>
      <c r="C81" t="s">
        <v>155</v>
      </c>
      <c r="D81" t="s">
        <v>83</v>
      </c>
      <c r="E81" t="s">
        <v>83</v>
      </c>
      <c r="F81" t="str">
        <f>IF(FINAL_RESULTS_GDELT__2[[#This Row],[SCORE_YOUNG_MUSULMAN]]=FINAL_RESULTS_GDELT__2[[#This Row],[SCORE_OLD_CHRISTIAN]],"Same","Different")</f>
        <v>Same</v>
      </c>
    </row>
    <row r="82" spans="1:6" x14ac:dyDescent="0.25">
      <c r="A82">
        <v>20260505210000</v>
      </c>
      <c r="B82" t="s">
        <v>156</v>
      </c>
      <c r="C82" t="s">
        <v>157</v>
      </c>
      <c r="D82" t="s">
        <v>83</v>
      </c>
      <c r="E82" t="s">
        <v>83</v>
      </c>
      <c r="F82" t="str">
        <f>IF(FINAL_RESULTS_GDELT__2[[#This Row],[SCORE_YOUNG_MUSULMAN]]=FINAL_RESULTS_GDELT__2[[#This Row],[SCORE_OLD_CHRISTIAN]],"Same","Different")</f>
        <v>Same</v>
      </c>
    </row>
    <row r="83" spans="1:6" x14ac:dyDescent="0.25">
      <c r="A83">
        <v>20260505210000</v>
      </c>
      <c r="B83" t="s">
        <v>158</v>
      </c>
      <c r="C83" t="s">
        <v>159</v>
      </c>
      <c r="D83" t="s">
        <v>177</v>
      </c>
      <c r="E83" t="s">
        <v>177</v>
      </c>
      <c r="F83" t="str">
        <f>IF(FINAL_RESULTS_GDELT__2[[#This Row],[SCORE_YOUNG_MUSULMAN]]=FINAL_RESULTS_GDELT__2[[#This Row],[SCORE_OLD_CHRISTIAN]],"Same","Different")</f>
        <v>Same</v>
      </c>
    </row>
    <row r="84" spans="1:6" x14ac:dyDescent="0.25">
      <c r="A84">
        <v>20260505210000</v>
      </c>
      <c r="B84" t="s">
        <v>160</v>
      </c>
      <c r="C84" t="s">
        <v>161</v>
      </c>
      <c r="D84" t="s">
        <v>83</v>
      </c>
      <c r="E84" t="s">
        <v>83</v>
      </c>
      <c r="F84" t="str">
        <f>IF(FINAL_RESULTS_GDELT__2[[#This Row],[SCORE_YOUNG_MUSULMAN]]=FINAL_RESULTS_GDELT__2[[#This Row],[SCORE_OLD_CHRISTIAN]],"Same","Different")</f>
        <v>Same</v>
      </c>
    </row>
    <row r="85" spans="1:6" x14ac:dyDescent="0.25">
      <c r="A85">
        <v>20260505210000</v>
      </c>
      <c r="B85" t="s">
        <v>162</v>
      </c>
      <c r="C85" t="s">
        <v>163</v>
      </c>
      <c r="D85" t="s">
        <v>179</v>
      </c>
      <c r="E85" t="s">
        <v>179</v>
      </c>
      <c r="F85" t="str">
        <f>IF(FINAL_RESULTS_GDELT__2[[#This Row],[SCORE_YOUNG_MUSULMAN]]=FINAL_RESULTS_GDELT__2[[#This Row],[SCORE_OLD_CHRISTIAN]],"Same","Different")</f>
        <v>Same</v>
      </c>
    </row>
    <row r="86" spans="1:6" x14ac:dyDescent="0.25">
      <c r="A86">
        <v>20260505210000</v>
      </c>
      <c r="B86" t="s">
        <v>164</v>
      </c>
      <c r="C86" t="s">
        <v>165</v>
      </c>
      <c r="D86" t="s">
        <v>185</v>
      </c>
      <c r="E86" t="s">
        <v>185</v>
      </c>
      <c r="F86" t="str">
        <f>IF(FINAL_RESULTS_GDELT__2[[#This Row],[SCORE_YOUNG_MUSULMAN]]=FINAL_RESULTS_GDELT__2[[#This Row],[SCORE_OLD_CHRISTIAN]],"Same","Different")</f>
        <v>Same</v>
      </c>
    </row>
    <row r="87" spans="1:6" x14ac:dyDescent="0.25">
      <c r="A87">
        <v>20260505210000</v>
      </c>
      <c r="B87" t="s">
        <v>166</v>
      </c>
      <c r="C87" t="s">
        <v>167</v>
      </c>
      <c r="D87" t="s">
        <v>182</v>
      </c>
      <c r="E87" t="s">
        <v>182</v>
      </c>
      <c r="F87" t="str">
        <f>IF(FINAL_RESULTS_GDELT__2[[#This Row],[SCORE_YOUNG_MUSULMAN]]=FINAL_RESULTS_GDELT__2[[#This Row],[SCORE_OLD_CHRISTIAN]],"Same","Different")</f>
        <v>Same</v>
      </c>
    </row>
    <row r="88" spans="1:6" x14ac:dyDescent="0.25">
      <c r="A88">
        <v>20260505210000</v>
      </c>
      <c r="B88" t="s">
        <v>168</v>
      </c>
      <c r="C88" t="s">
        <v>169</v>
      </c>
      <c r="D88" t="s">
        <v>179</v>
      </c>
      <c r="E88" t="s">
        <v>179</v>
      </c>
      <c r="F88" t="str">
        <f>IF(FINAL_RESULTS_GDELT__2[[#This Row],[SCORE_YOUNG_MUSULMAN]]=FINAL_RESULTS_GDELT__2[[#This Row],[SCORE_OLD_CHRISTIAN]],"Same","Different")</f>
        <v>Same</v>
      </c>
    </row>
    <row r="89" spans="1:6" x14ac:dyDescent="0.25">
      <c r="A89">
        <v>20260505210000</v>
      </c>
      <c r="B89" t="s">
        <v>170</v>
      </c>
      <c r="C89" t="s">
        <v>167</v>
      </c>
      <c r="D89" t="s">
        <v>184</v>
      </c>
      <c r="E89" t="s">
        <v>184</v>
      </c>
      <c r="F89" t="str">
        <f>IF(FINAL_RESULTS_GDELT__2[[#This Row],[SCORE_YOUNG_MUSULMAN]]=FINAL_RESULTS_GDELT__2[[#This Row],[SCORE_OLD_CHRISTIAN]],"Same","Different")</f>
        <v>Same</v>
      </c>
    </row>
    <row r="90" spans="1:6" x14ac:dyDescent="0.25">
      <c r="A90">
        <v>20260505210000</v>
      </c>
      <c r="B90" t="s">
        <v>171</v>
      </c>
      <c r="C90" t="s">
        <v>172</v>
      </c>
      <c r="D90" t="s">
        <v>183</v>
      </c>
      <c r="E90" t="s">
        <v>183</v>
      </c>
      <c r="F90" t="str">
        <f>IF(FINAL_RESULTS_GDELT__2[[#This Row],[SCORE_YOUNG_MUSULMAN]]=FINAL_RESULTS_GDELT__2[[#This Row],[SCORE_OLD_CHRISTIAN]],"Same","Different")</f>
        <v>Same</v>
      </c>
    </row>
    <row r="91" spans="1:6" x14ac:dyDescent="0.25">
      <c r="A91">
        <v>20260505210000</v>
      </c>
      <c r="B91" t="s">
        <v>173</v>
      </c>
      <c r="C91" t="s">
        <v>174</v>
      </c>
      <c r="D91" t="s">
        <v>184</v>
      </c>
      <c r="E91" t="s">
        <v>184</v>
      </c>
      <c r="F91" t="str">
        <f>IF(FINAL_RESULTS_GDELT__2[[#This Row],[SCORE_YOUNG_MUSULMAN]]=FINAL_RESULTS_GDELT__2[[#This Row],[SCORE_OLD_CHRISTIAN]],"Same","Different")</f>
        <v>Same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F1DB6A-84D6-4CEA-A81E-CD8626310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Temporal_uncertainty_results_gd</vt:lpstr>
      <vt:lpstr>FINAL_RESULTS_GDELT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2026-06-15T15:45:32Z</dcterms:modified>
</cp:coreProperties>
</file>