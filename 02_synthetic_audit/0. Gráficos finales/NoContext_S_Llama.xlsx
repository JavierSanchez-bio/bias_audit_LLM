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. Gráficos finales\"/>
    </mc:Choice>
  </mc:AlternateContent>
  <xr:revisionPtr revIDLastSave="0" documentId="13_ncr:1_{BED91079-3831-43AE-B1A7-0251E534A0F1}" xr6:coauthVersionLast="47" xr6:coauthVersionMax="47" xr10:uidLastSave="{00000000-0000-0000-0000-000000000000}"/>
  <bookViews>
    <workbookView xWindow="-28920" yWindow="-195" windowWidth="29040" windowHeight="15720" activeTab="2" xr2:uid="{00000000-000D-0000-FFFF-FFFF00000000}"/>
  </bookViews>
  <sheets>
    <sheet name="NoContext Araña" sheetId="1" r:id="rId1"/>
    <sheet name="NoContext Individual" sheetId="2" r:id="rId2"/>
    <sheet name="NoContext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1" l="1"/>
  <c r="O31" i="1"/>
  <c r="O30" i="1"/>
  <c r="O29" i="1"/>
  <c r="O28" i="1"/>
  <c r="O27" i="1"/>
  <c r="C12" i="3"/>
  <c r="C11" i="3"/>
  <c r="C10" i="3"/>
  <c r="W14" i="2" l="1"/>
  <c r="W13" i="2"/>
  <c r="W12" i="2"/>
  <c r="W11" i="2"/>
  <c r="W10" i="2"/>
  <c r="W9" i="2"/>
  <c r="W8" i="2"/>
  <c r="W7" i="2"/>
  <c r="W6" i="2"/>
  <c r="W5" i="2"/>
  <c r="W4" i="2"/>
  <c r="W3" i="2"/>
  <c r="T3" i="2"/>
  <c r="T5" i="2"/>
  <c r="T7" i="2"/>
  <c r="T9" i="2"/>
  <c r="T13" i="2"/>
  <c r="T11" i="2"/>
  <c r="D14" i="2" l="1"/>
  <c r="D13" i="2"/>
  <c r="D11" i="2"/>
  <c r="D10" i="2"/>
  <c r="D9" i="2"/>
  <c r="D8" i="2"/>
  <c r="D6" i="2"/>
  <c r="D5" i="2"/>
  <c r="D4" i="2"/>
  <c r="D3" i="2"/>
  <c r="O11" i="1"/>
  <c r="O10" i="1"/>
  <c r="O9" i="1"/>
  <c r="O8" i="1"/>
  <c r="O7" i="1"/>
  <c r="O6" i="1"/>
  <c r="C5" i="3"/>
  <c r="C4" i="3"/>
  <c r="C3" i="3"/>
  <c r="D12" i="2"/>
  <c r="D7" i="2"/>
  <c r="D33" i="2" l="1"/>
  <c r="F4" i="2"/>
  <c r="D30" i="2" s="1"/>
  <c r="F14" i="2"/>
  <c r="D40" i="2" s="1"/>
  <c r="F12" i="2"/>
  <c r="D37" i="2" s="1"/>
  <c r="F10" i="2"/>
  <c r="D36" i="2" s="1"/>
  <c r="F6" i="2"/>
  <c r="D31" i="2" s="1"/>
  <c r="F8" i="2"/>
  <c r="D34" i="2" s="1"/>
  <c r="A5" i="2"/>
  <c r="A13" i="2"/>
  <c r="A11" i="2"/>
  <c r="A9" i="2"/>
  <c r="D38" i="2" l="1"/>
  <c r="D35" i="2"/>
  <c r="D32" i="2"/>
  <c r="D39" i="2"/>
  <c r="D29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<sst xmlns="http://schemas.openxmlformats.org/spreadsheetml/2006/main" count="74" uniqueCount="23">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</sst>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Araña'!$O$6:$O$11</c:f>
              <c:numCache>
                <c:formatCode>General</c:formatCode>
                <c:ptCount val="6"/>
                <c:pt idx="0">
                  <c:v>25</c:v>
                </c:pt>
                <c:pt idx="1">
                  <c:v>16</c:v>
                </c:pt>
                <c:pt idx="2">
                  <c:v>25</c:v>
                </c:pt>
                <c:pt idx="3">
                  <c:v>51</c:v>
                </c:pt>
                <c:pt idx="4">
                  <c:v>45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'NoContext Araña'!$O$27:$O$32</c:f>
              <c:numCache>
                <c:formatCode>0%</c:formatCode>
                <c:ptCount val="6"/>
                <c:pt idx="0">
                  <c:v>0.27650850547402261</c:v>
                </c:pt>
                <c:pt idx="1">
                  <c:v>0.22571245977535062</c:v>
                </c:pt>
                <c:pt idx="2">
                  <c:v>9.8754578754578701E-2</c:v>
                </c:pt>
                <c:pt idx="3">
                  <c:v>0.20604518304691874</c:v>
                </c:pt>
                <c:pt idx="4">
                  <c:v>0.27111065180030697</c:v>
                </c:pt>
                <c:pt idx="5">
                  <c:v>0.26457570642523631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3-4E25-995E-DFBEF7DD3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Individual'!$D$3:$D$14</c:f>
              <c:numCache>
                <c:formatCode>General</c:formatCode>
                <c:ptCount val="12"/>
                <c:pt idx="0">
                  <c:v>25</c:v>
                </c:pt>
                <c:pt idx="1">
                  <c:v>0</c:v>
                </c:pt>
                <c:pt idx="2">
                  <c:v>11</c:v>
                </c:pt>
                <c:pt idx="3">
                  <c:v>5</c:v>
                </c:pt>
                <c:pt idx="4">
                  <c:v>25</c:v>
                </c:pt>
                <c:pt idx="5">
                  <c:v>0</c:v>
                </c:pt>
                <c:pt idx="6">
                  <c:v>37</c:v>
                </c:pt>
                <c:pt idx="7">
                  <c:v>14</c:v>
                </c:pt>
                <c:pt idx="8">
                  <c:v>26</c:v>
                </c:pt>
                <c:pt idx="9">
                  <c:v>19</c:v>
                </c:pt>
                <c:pt idx="10">
                  <c:v>30</c:v>
                </c:pt>
                <c:pt idx="1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Individual'!$D$29:$D$40</c:f>
              <c:numCache>
                <c:formatCode>0%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0.6875</c:v>
                </c:pt>
                <c:pt idx="3">
                  <c:v>0.3125</c:v>
                </c:pt>
                <c:pt idx="4">
                  <c:v>1</c:v>
                </c:pt>
                <c:pt idx="5">
                  <c:v>0</c:v>
                </c:pt>
                <c:pt idx="6">
                  <c:v>0.72549019607843135</c:v>
                </c:pt>
                <c:pt idx="7">
                  <c:v>0.27450980392156865</c:v>
                </c:pt>
                <c:pt idx="8">
                  <c:v>0.57777777777777772</c:v>
                </c:pt>
                <c:pt idx="9">
                  <c:v>0.42222222222222222</c:v>
                </c:pt>
                <c:pt idx="10">
                  <c:v>0.68181818181818177</c:v>
                </c:pt>
                <c:pt idx="11">
                  <c:v>0.31818181818181818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Deviation for each Bias without using Vigeo Eiris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BE80-46AC-B22F-F465BA945E7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80-46AC-B22F-F465BA945E7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80-46AC-B22F-F465BA945E7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E80-46AC-B22F-F465BA945E7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E80-46AC-B22F-F465BA945E7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E80-46AC-B22F-F465BA945E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'NoContext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'NoContext Individual'!$W$3:$W$14</c:f>
              <c:numCache>
                <c:formatCode>0.0%</c:formatCode>
                <c:ptCount val="12"/>
                <c:pt idx="0">
                  <c:v>0.27650850547402261</c:v>
                </c:pt>
                <c:pt idx="1">
                  <c:v>0</c:v>
                </c:pt>
                <c:pt idx="2">
                  <c:v>8.8890419924902708E-2</c:v>
                </c:pt>
                <c:pt idx="3">
                  <c:v>0.52672094744633602</c:v>
                </c:pt>
                <c:pt idx="4">
                  <c:v>9.8754578754578701E-2</c:v>
                </c:pt>
                <c:pt idx="5">
                  <c:v>0</c:v>
                </c:pt>
                <c:pt idx="6">
                  <c:v>0.19323442416225919</c:v>
                </c:pt>
                <c:pt idx="7">
                  <c:v>0.23990218867066157</c:v>
                </c:pt>
                <c:pt idx="8">
                  <c:v>0.24225005763467294</c:v>
                </c:pt>
                <c:pt idx="9">
                  <c:v>0.31060409644801651</c:v>
                </c:pt>
                <c:pt idx="10">
                  <c:v>0.25655011655011656</c:v>
                </c:pt>
                <c:pt idx="11">
                  <c:v>0.28177339901477827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4AB-489A-B412-02FD7C07EDA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'NoContext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Full'!$C$4:$C$5</c:f>
              <c:numCache>
                <c:formatCode>General</c:formatCode>
                <c:ptCount val="2"/>
                <c:pt idx="0">
                  <c:v>21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42-4E40-8997-BF10E171D53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42-4E40-8997-BF10E171D5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'NoContext Full'!$B$11:$B$12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'NoContext Full'!$C$11:$C$12</c:f>
              <c:numCache>
                <c:formatCode>0.0%</c:formatCode>
                <c:ptCount val="2"/>
                <c:pt idx="0">
                  <c:v>0.50753056467342195</c:v>
                </c:pt>
                <c:pt idx="1">
                  <c:v>0.28571428571428564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42-4E40-8997-BF10E171D5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5405551"/>
        <c:axId val="1255409391"/>
      </c:barChart>
      <c:catAx>
        <c:axId val="125540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5409391"/>
        <c:crosses val="autoZero"/>
        <c:auto val="1"/>
        <c:lblAlgn val="ctr"/>
        <c:lblOffset val="100"/>
        <c:noMultiLvlLbl val="0"/>
      </c:catAx>
      <c:valAx>
        <c:axId val="125540939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5540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546652</xdr:colOff>
      <xdr:row>21</xdr:row>
      <xdr:rowOff>182217</xdr:rowOff>
    </xdr:from>
    <xdr:to>
      <xdr:col>12</xdr:col>
      <xdr:colOff>257588</xdr:colOff>
      <xdr:row>40</xdr:row>
      <xdr:rowOff>77235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2031351C-E8DF-4B45-867E-FA5C2C9E0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361950</xdr:colOff>
      <xdr:row>14</xdr:row>
      <xdr:rowOff>152400</xdr:rowOff>
    </xdr:from>
    <xdr:to>
      <xdr:col>27</xdr:col>
      <xdr:colOff>252413</xdr:colOff>
      <xdr:row>38</xdr:row>
      <xdr:rowOff>80963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90FBDFD6-C885-4EFB-AC5F-23F41C0A7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8</xdr:col>
      <xdr:colOff>285411</xdr:colOff>
      <xdr:row>16</xdr:row>
      <xdr:rowOff>37762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466724</xdr:colOff>
      <xdr:row>2</xdr:row>
      <xdr:rowOff>33335</xdr:rowOff>
    </xdr:from>
    <xdr:to>
      <xdr:col>19</xdr:col>
      <xdr:colOff>333375</xdr:colOff>
      <xdr:row>19</xdr:row>
      <xdr:rowOff>9524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985756-9902-6324-7358-89622CA85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S%20-%20Social/S_religion.xlsx" TargetMode="External"/><Relationship Id="rId2" Type="http://schemas.openxmlformats.org/officeDocument/2006/relationships/externalLinkPath" Target="file:///C:\Users\jsanchez\Downloads\TFM%20Graficar\Graficar\No%20context\S%20-%20Social\S_religion.xlsx" TargetMode="External"/><Relationship Id="rId1" Type="http://schemas.openxmlformats.org/officeDocument/2006/relationships/externalLinkPath" Target="/Users/jsanchez/Downloads/TFM%20Graficar/Graficar/0.%20No%20context/S%20-%20Social/S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S%20-%20Social/S_religion_gender.xlsx" TargetMode="External"/><Relationship Id="rId2" Type="http://schemas.openxmlformats.org/officeDocument/2006/relationships/externalLinkPath" Target="file:///C:\Users\jsanchez\Downloads\TFM%20Graficar\Graficar\0.%20No%20context\S%20-%20Social\S_religion_gender.xlsx" TargetMode="External"/><Relationship Id="rId1" Type="http://schemas.openxmlformats.org/officeDocument/2006/relationships/externalLinkPath" Target="/Users/jsanchez/Downloads/TFM%20Graficar/Graficar/0.%20No%20context/S%20-%20Social/S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S%20-%20Social/S_gender.xlsx" TargetMode="External"/><Relationship Id="rId2" Type="http://schemas.openxmlformats.org/officeDocument/2006/relationships/externalLinkPath" Target="file:///C:\Users\javie\Desktop\TFM\LLM_bias\ESG_detect_bias\Vigeo%20Eiris%20(Moody's)\S%20-%20Social\S_gender.xlsx" TargetMode="External"/><Relationship Id="rId1" Type="http://schemas.openxmlformats.org/officeDocument/2006/relationships/externalLinkPath" Target="/Users/jsanchez/Downloads/TFM%20Graficar/Graficar/0.%20No%20context/S%20-%20Social/S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S%20-%20Social/S_age_gender.xlsx" TargetMode="External"/><Relationship Id="rId2" Type="http://schemas.openxmlformats.org/officeDocument/2006/relationships/externalLinkPath" Target="file:///C:\Users\javie\Desktop\TFM\LLM_bias\ESG_detect_bias\Vigeo%20Eiris%20(Moody's)\S%20-%20Social\S_age_gender.xlsx" TargetMode="External"/><Relationship Id="rId1" Type="http://schemas.openxmlformats.org/officeDocument/2006/relationships/externalLinkPath" Target="/Users/jsanchez/Downloads/TFM%20Graficar/Graficar/0.%20No%20context/S%20-%20Social/S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S%20-%20Social/S_age.xlsx" TargetMode="External"/><Relationship Id="rId2" Type="http://schemas.openxmlformats.org/officeDocument/2006/relationships/externalLinkPath" Target="file:///C:\Users\jsanchez\Downloads\TFM%20Graficar\Graficar\0.%20No%20context\S%20-%20Social\S_age.xlsx" TargetMode="External"/><Relationship Id="rId1" Type="http://schemas.openxmlformats.org/officeDocument/2006/relationships/externalLinkPath" Target="/Users/jsanchez/Downloads/TFM%20Graficar/Graficar/0.%20No%20context/S%20-%20Social/S_age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S%20-%20Social/S_age_religion.xlsx" TargetMode="External"/><Relationship Id="rId2" Type="http://schemas.openxmlformats.org/officeDocument/2006/relationships/externalLinkPath" Target="file:///C:\Users\javie\Desktop\TFM\LLM_bias\ESG_detect_bias\Vigeo%20Eiris%20(Moody's)\S%20-%20Social\S_age_religion.xlsx" TargetMode="External"/><Relationship Id="rId1" Type="http://schemas.openxmlformats.org/officeDocument/2006/relationships/externalLinkPath" Target="/Users/jsanchez/Downloads/TFM%20Graficar/Graficar/0.%20No%20context/S%20-%20Social/S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%20Graficar/Graficar/0.%20No%20context/S%20-%20Social/S_full.xlsx" TargetMode="External"/><Relationship Id="rId2" Type="http://schemas.openxmlformats.org/officeDocument/2006/relationships/externalLinkPath" Target="file:///C:\Users\jsanchez\Downloads\TFM%20Graficar\Graficar\0.%20No%20context\S%20-%20Social\S_full.xlsx" TargetMode="External"/><Relationship Id="rId1" Type="http://schemas.openxmlformats.org/officeDocument/2006/relationships/externalLinkPath" Target="/Users/jsanchez/Downloads/TFM%20Graficar/Graficar/0.%20No%20context/S%20-%20Social/S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25</v>
          </cell>
          <cell r="N5">
            <v>0.27650850547402261</v>
          </cell>
        </row>
        <row r="8">
          <cell r="H8">
            <v>25</v>
          </cell>
          <cell r="K8">
            <v>0.27650850547402261</v>
          </cell>
        </row>
        <row r="10">
          <cell r="H10">
            <v>0</v>
          </cell>
          <cell r="K10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16</v>
          </cell>
          <cell r="N5">
            <v>0.22571245977535062</v>
          </cell>
        </row>
        <row r="8">
          <cell r="H8">
            <v>11</v>
          </cell>
          <cell r="K8">
            <v>8.8890419924902708E-2</v>
          </cell>
        </row>
        <row r="10">
          <cell r="H10">
            <v>5</v>
          </cell>
          <cell r="K10">
            <v>0.52672094744633602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25</v>
          </cell>
          <cell r="N5">
            <v>9.8754578754578701E-2</v>
          </cell>
        </row>
        <row r="8">
          <cell r="H8">
            <v>25</v>
          </cell>
          <cell r="K8">
            <v>9.8754578754578701E-2</v>
          </cell>
        </row>
        <row r="10">
          <cell r="H10">
            <v>0</v>
          </cell>
          <cell r="K10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51</v>
          </cell>
          <cell r="N5">
            <v>0.20604518304691874</v>
          </cell>
        </row>
        <row r="8">
          <cell r="H8">
            <v>37</v>
          </cell>
          <cell r="K8">
            <v>0.19323442416225919</v>
          </cell>
        </row>
        <row r="10">
          <cell r="H10">
            <v>14</v>
          </cell>
          <cell r="K10">
            <v>0.23990218867066157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45</v>
          </cell>
          <cell r="N5">
            <v>0.27111065180030697</v>
          </cell>
        </row>
        <row r="8">
          <cell r="H8">
            <v>26</v>
          </cell>
          <cell r="K8">
            <v>0.24225005763467294</v>
          </cell>
        </row>
        <row r="10">
          <cell r="H10">
            <v>19</v>
          </cell>
          <cell r="K10">
            <v>0.31060409644801651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44</v>
          </cell>
          <cell r="N5">
            <v>0.26457570642523631</v>
          </cell>
        </row>
        <row r="8">
          <cell r="H8">
            <v>30</v>
          </cell>
          <cell r="K8">
            <v>0.25655011655011656</v>
          </cell>
        </row>
        <row r="10">
          <cell r="H10">
            <v>14</v>
          </cell>
          <cell r="K10">
            <v>0.28177339901477827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33</v>
          </cell>
          <cell r="N5">
            <v>0.42687009959737249</v>
          </cell>
        </row>
        <row r="8">
          <cell r="H8">
            <v>21</v>
          </cell>
          <cell r="K8">
            <v>0.50753056467342195</v>
          </cell>
        </row>
        <row r="10">
          <cell r="H10">
            <v>12</v>
          </cell>
          <cell r="K10">
            <v>0.28571428571428564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topLeftCell="A6" zoomScale="115" zoomScaleNormal="115" workbookViewId="0">
      <selection activeCell="Q18" sqref="Q18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[1]Sheet1!$H$5</f>
        <v>25</v>
      </c>
    </row>
    <row r="7" spans="14:15" x14ac:dyDescent="0.25">
      <c r="N7" t="s">
        <v>19</v>
      </c>
      <c r="O7">
        <f>[2]Sheet1!$H$5</f>
        <v>16</v>
      </c>
    </row>
    <row r="8" spans="14:15" x14ac:dyDescent="0.25">
      <c r="N8" t="s">
        <v>20</v>
      </c>
      <c r="O8">
        <f>[3]Sheet1!$H$5</f>
        <v>25</v>
      </c>
    </row>
    <row r="9" spans="14:15" x14ac:dyDescent="0.25">
      <c r="N9" t="s">
        <v>18</v>
      </c>
      <c r="O9">
        <f>[4]Sheet1!$H$5</f>
        <v>51</v>
      </c>
    </row>
    <row r="10" spans="14:15" x14ac:dyDescent="0.25">
      <c r="N10" t="s">
        <v>1</v>
      </c>
      <c r="O10">
        <f>[5]Sheet1!$H$5</f>
        <v>45</v>
      </c>
    </row>
    <row r="11" spans="14:15" x14ac:dyDescent="0.25">
      <c r="N11" t="s">
        <v>2</v>
      </c>
      <c r="O11">
        <f>[6]Sheet1!$H$5</f>
        <v>44</v>
      </c>
    </row>
    <row r="27" spans="14:15" x14ac:dyDescent="0.25">
      <c r="N27" t="s">
        <v>0</v>
      </c>
      <c r="O27" s="1">
        <f>'NoContext Individual'!T3</f>
        <v>0.27650850547402261</v>
      </c>
    </row>
    <row r="28" spans="14:15" x14ac:dyDescent="0.25">
      <c r="N28" t="s">
        <v>19</v>
      </c>
      <c r="O28" s="1">
        <f>'NoContext Individual'!T5</f>
        <v>0.22571245977535062</v>
      </c>
    </row>
    <row r="29" spans="14:15" x14ac:dyDescent="0.25">
      <c r="N29" t="s">
        <v>20</v>
      </c>
      <c r="O29" s="1">
        <f>'NoContext Individual'!T7</f>
        <v>9.8754578754578701E-2</v>
      </c>
    </row>
    <row r="30" spans="14:15" x14ac:dyDescent="0.25">
      <c r="N30" t="s">
        <v>18</v>
      </c>
      <c r="O30" s="1">
        <f>'NoContext Individual'!T9</f>
        <v>0.20604518304691874</v>
      </c>
    </row>
    <row r="31" spans="14:15" x14ac:dyDescent="0.25">
      <c r="N31" t="s">
        <v>1</v>
      </c>
      <c r="O31" s="1">
        <f>'NoContext Individual'!T11</f>
        <v>0.27111065180030697</v>
      </c>
    </row>
    <row r="32" spans="14:15" x14ac:dyDescent="0.25">
      <c r="N32" t="s">
        <v>2</v>
      </c>
      <c r="O32" s="1">
        <f>'NoContext Individual'!T13</f>
        <v>0.26457570642523631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opLeftCell="G1" zoomScaleNormal="100" workbookViewId="0">
      <selection activeCell="W9" sqref="W9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7.5703125" customWidth="1"/>
    <col min="22" max="22" width="20.7109375" customWidth="1"/>
  </cols>
  <sheetData>
    <row r="3" spans="1:23" x14ac:dyDescent="0.25">
      <c r="A3">
        <f>'NoContext Araña'!O6</f>
        <v>25</v>
      </c>
      <c r="B3" t="s">
        <v>0</v>
      </c>
      <c r="C3" t="s">
        <v>4</v>
      </c>
      <c r="D3">
        <f>[1]Sheet1!$H$8</f>
        <v>25</v>
      </c>
      <c r="T3" s="2">
        <f>[1]Sheet1!$N$5</f>
        <v>0.27650850547402261</v>
      </c>
      <c r="U3" t="s">
        <v>0</v>
      </c>
      <c r="V3" t="s">
        <v>4</v>
      </c>
      <c r="W3" s="2">
        <f>[1]Sheet1!$K$8</f>
        <v>0.27650850547402261</v>
      </c>
    </row>
    <row r="4" spans="1:23" x14ac:dyDescent="0.25">
      <c r="C4" t="s">
        <v>3</v>
      </c>
      <c r="D4">
        <f>[1]Sheet1!$H$10</f>
        <v>0</v>
      </c>
      <c r="F4">
        <f>SUM(D3:D4)</f>
        <v>25</v>
      </c>
      <c r="T4" s="2"/>
      <c r="V4" t="s">
        <v>3</v>
      </c>
      <c r="W4" s="2">
        <f>[1]Sheet1!$K$10</f>
        <v>0</v>
      </c>
    </row>
    <row r="5" spans="1:23" x14ac:dyDescent="0.25">
      <c r="A5">
        <f>'NoContext Araña'!O7</f>
        <v>16</v>
      </c>
      <c r="B5" t="s">
        <v>19</v>
      </c>
      <c r="C5" t="s">
        <v>6</v>
      </c>
      <c r="D5">
        <f>[2]Sheet1!$H$8</f>
        <v>11</v>
      </c>
      <c r="T5" s="2">
        <f>[2]Sheet1!$N$5</f>
        <v>0.22571245977535062</v>
      </c>
      <c r="U5" t="s">
        <v>19</v>
      </c>
      <c r="V5" t="s">
        <v>6</v>
      </c>
      <c r="W5" s="2">
        <f>[2]Sheet1!$K$8</f>
        <v>8.8890419924902708E-2</v>
      </c>
    </row>
    <row r="6" spans="1:23" x14ac:dyDescent="0.25">
      <c r="C6" t="s">
        <v>5</v>
      </c>
      <c r="D6">
        <f>[2]Sheet1!$H$10</f>
        <v>5</v>
      </c>
      <c r="F6">
        <f>SUM(D5:D6)</f>
        <v>16</v>
      </c>
      <c r="T6" s="2"/>
      <c r="V6" t="s">
        <v>5</v>
      </c>
      <c r="W6" s="2">
        <f>[2]Sheet1!$K$10</f>
        <v>0.52672094744633602</v>
      </c>
    </row>
    <row r="7" spans="1:23" x14ac:dyDescent="0.25">
      <c r="A7">
        <f>'NoContext Araña'!O8</f>
        <v>25</v>
      </c>
      <c r="B7" t="s">
        <v>20</v>
      </c>
      <c r="C7" t="s">
        <v>7</v>
      </c>
      <c r="D7">
        <f>[3]Sheet1!$H$8</f>
        <v>25</v>
      </c>
      <c r="T7" s="2">
        <f>[3]Sheet1!$N$5</f>
        <v>9.8754578754578701E-2</v>
      </c>
      <c r="U7" t="s">
        <v>20</v>
      </c>
      <c r="V7" t="s">
        <v>7</v>
      </c>
      <c r="W7" s="2">
        <f>[3]Sheet1!$K$8</f>
        <v>9.8754578754578701E-2</v>
      </c>
    </row>
    <row r="8" spans="1:23" x14ac:dyDescent="0.25">
      <c r="C8" t="s">
        <v>8</v>
      </c>
      <c r="D8">
        <f>[3]Sheet1!$H$10</f>
        <v>0</v>
      </c>
      <c r="F8">
        <f t="shared" ref="F8" si="0">SUM(D7:D8)</f>
        <v>25</v>
      </c>
      <c r="T8" s="2"/>
      <c r="V8" t="s">
        <v>8</v>
      </c>
      <c r="W8" s="2">
        <f>[3]Sheet1!$K$10</f>
        <v>0</v>
      </c>
    </row>
    <row r="9" spans="1:23" x14ac:dyDescent="0.25">
      <c r="A9">
        <f>'NoContext Araña'!O9</f>
        <v>51</v>
      </c>
      <c r="B9" t="s">
        <v>18</v>
      </c>
      <c r="C9" t="s">
        <v>9</v>
      </c>
      <c r="D9">
        <f>[4]Sheet1!$H$8</f>
        <v>37</v>
      </c>
      <c r="T9" s="2">
        <f>[4]Sheet1!$N$5</f>
        <v>0.20604518304691874</v>
      </c>
      <c r="U9" t="s">
        <v>18</v>
      </c>
      <c r="V9" t="s">
        <v>9</v>
      </c>
      <c r="W9" s="2">
        <f>[4]Sheet1!$K$8</f>
        <v>0.19323442416225919</v>
      </c>
    </row>
    <row r="10" spans="1:23" x14ac:dyDescent="0.25">
      <c r="C10" t="s">
        <v>10</v>
      </c>
      <c r="D10">
        <f>[4]Sheet1!$H$10</f>
        <v>14</v>
      </c>
      <c r="F10">
        <f t="shared" ref="F10" si="1">SUM(D9:D10)</f>
        <v>51</v>
      </c>
      <c r="T10" s="2"/>
      <c r="V10" t="s">
        <v>10</v>
      </c>
      <c r="W10" s="2">
        <f>[4]Sheet1!$K$10</f>
        <v>0.23990218867066157</v>
      </c>
    </row>
    <row r="11" spans="1:23" x14ac:dyDescent="0.25">
      <c r="A11">
        <f>'NoContext Araña'!O10</f>
        <v>45</v>
      </c>
      <c r="B11" t="s">
        <v>1</v>
      </c>
      <c r="C11" t="s">
        <v>11</v>
      </c>
      <c r="D11">
        <f>[5]Sheet1!$H$8</f>
        <v>26</v>
      </c>
      <c r="T11" s="2">
        <f>[5]Sheet1!$N$5</f>
        <v>0.27111065180030697</v>
      </c>
      <c r="U11" t="s">
        <v>1</v>
      </c>
      <c r="V11" t="s">
        <v>11</v>
      </c>
      <c r="W11" s="2">
        <f>[5]Sheet1!$K$8</f>
        <v>0.24225005763467294</v>
      </c>
    </row>
    <row r="12" spans="1:23" x14ac:dyDescent="0.25">
      <c r="C12" t="s">
        <v>12</v>
      </c>
      <c r="D12">
        <f>[5]Sheet1!$H$10</f>
        <v>19</v>
      </c>
      <c r="F12">
        <f t="shared" ref="F12" si="2">SUM(D11:D12)</f>
        <v>45</v>
      </c>
      <c r="T12" s="2"/>
      <c r="V12" t="s">
        <v>12</v>
      </c>
      <c r="W12" s="2">
        <f>[5]Sheet1!$K$10</f>
        <v>0.31060409644801651</v>
      </c>
    </row>
    <row r="13" spans="1:23" x14ac:dyDescent="0.25">
      <c r="A13">
        <f>'NoContext Araña'!O11</f>
        <v>44</v>
      </c>
      <c r="B13" t="s">
        <v>2</v>
      </c>
      <c r="C13" t="s">
        <v>13</v>
      </c>
      <c r="D13">
        <f>[6]Sheet1!$H$8</f>
        <v>30</v>
      </c>
      <c r="T13" s="2">
        <f>[6]Sheet1!$N$5</f>
        <v>0.26457570642523631</v>
      </c>
      <c r="U13" t="s">
        <v>2</v>
      </c>
      <c r="V13" t="s">
        <v>13</v>
      </c>
      <c r="W13" s="2">
        <f>[6]Sheet1!$K$8</f>
        <v>0.25655011655011656</v>
      </c>
    </row>
    <row r="14" spans="1:23" x14ac:dyDescent="0.25">
      <c r="C14" t="s">
        <v>14</v>
      </c>
      <c r="D14">
        <f>[6]Sheet1!$H$10</f>
        <v>14</v>
      </c>
      <c r="F14">
        <f t="shared" ref="F14" si="3">SUM(D13:D14)</f>
        <v>44</v>
      </c>
      <c r="T14" s="2"/>
      <c r="V14" t="s">
        <v>14</v>
      </c>
      <c r="W14" s="2">
        <f>[6]Sheet1!$K$10</f>
        <v>0.28177339901477827</v>
      </c>
    </row>
    <row r="15" spans="1:23" x14ac:dyDescent="0.25">
      <c r="T15" s="2"/>
      <c r="W15" s="2"/>
    </row>
    <row r="29" spans="2:4" x14ac:dyDescent="0.25">
      <c r="B29" t="s">
        <v>0</v>
      </c>
      <c r="C29" t="s">
        <v>4</v>
      </c>
      <c r="D29" s="1">
        <f>D3/$F$4</f>
        <v>1</v>
      </c>
    </row>
    <row r="30" spans="2:4" x14ac:dyDescent="0.25">
      <c r="C30" t="s">
        <v>3</v>
      </c>
      <c r="D30" s="1">
        <f t="shared" ref="D30" si="4">D4/$F$4</f>
        <v>0</v>
      </c>
    </row>
    <row r="31" spans="2:4" x14ac:dyDescent="0.25">
      <c r="B31" t="s">
        <v>19</v>
      </c>
      <c r="C31" t="s">
        <v>6</v>
      </c>
      <c r="D31" s="1">
        <f>D5/$F$6</f>
        <v>0.6875</v>
      </c>
    </row>
    <row r="32" spans="2:4" x14ac:dyDescent="0.25">
      <c r="C32" t="s">
        <v>5</v>
      </c>
      <c r="D32" s="1">
        <f>D6/$F$6</f>
        <v>0.3125</v>
      </c>
    </row>
    <row r="33" spans="2:4" x14ac:dyDescent="0.25">
      <c r="B33" t="s">
        <v>20</v>
      </c>
      <c r="C33" t="s">
        <v>7</v>
      </c>
      <c r="D33" s="1">
        <f>D7/$F$8</f>
        <v>1</v>
      </c>
    </row>
    <row r="34" spans="2:4" x14ac:dyDescent="0.25">
      <c r="C34" t="s">
        <v>8</v>
      </c>
      <c r="D34" s="1">
        <f>D8/$F$8</f>
        <v>0</v>
      </c>
    </row>
    <row r="35" spans="2:4" x14ac:dyDescent="0.25">
      <c r="B35" t="s">
        <v>18</v>
      </c>
      <c r="C35" t="s">
        <v>9</v>
      </c>
      <c r="D35" s="1">
        <f>D9/$F$10</f>
        <v>0.72549019607843135</v>
      </c>
    </row>
    <row r="36" spans="2:4" x14ac:dyDescent="0.25">
      <c r="C36" t="s">
        <v>10</v>
      </c>
      <c r="D36" s="1">
        <f>D10/$F$10</f>
        <v>0.27450980392156865</v>
      </c>
    </row>
    <row r="37" spans="2:4" x14ac:dyDescent="0.25">
      <c r="B37" t="s">
        <v>1</v>
      </c>
      <c r="C37" t="s">
        <v>11</v>
      </c>
      <c r="D37" s="1">
        <f>D11/$F$12</f>
        <v>0.57777777777777772</v>
      </c>
    </row>
    <row r="38" spans="2:4" x14ac:dyDescent="0.25">
      <c r="C38" t="s">
        <v>12</v>
      </c>
      <c r="D38" s="1">
        <f>D12/$F$12</f>
        <v>0.42222222222222222</v>
      </c>
    </row>
    <row r="39" spans="2:4" x14ac:dyDescent="0.25">
      <c r="B39" t="s">
        <v>2</v>
      </c>
      <c r="C39" t="s">
        <v>13</v>
      </c>
      <c r="D39" s="1">
        <f>D13/$F$14</f>
        <v>0.68181818181818177</v>
      </c>
    </row>
    <row r="40" spans="2:4" x14ac:dyDescent="0.25">
      <c r="C40" t="s">
        <v>14</v>
      </c>
      <c r="D40" s="1">
        <f>D14/$F$14</f>
        <v>0.31818181818181818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3"/>
  <sheetViews>
    <sheetView tabSelected="1" zoomScaleNormal="100" workbookViewId="0">
      <selection activeCell="J15" sqref="J15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[7]Sheet1!$H$5</f>
        <v>33</v>
      </c>
    </row>
    <row r="4" spans="2:3" x14ac:dyDescent="0.25">
      <c r="B4" t="s">
        <v>15</v>
      </c>
      <c r="C4">
        <f>[7]Sheet1!$H$8</f>
        <v>21</v>
      </c>
    </row>
    <row r="5" spans="2:3" x14ac:dyDescent="0.25">
      <c r="B5" t="s">
        <v>16</v>
      </c>
      <c r="C5">
        <f>[7]Sheet1!$H$10</f>
        <v>12</v>
      </c>
    </row>
    <row r="9" spans="2:3" x14ac:dyDescent="0.25">
      <c r="B9" t="s">
        <v>22</v>
      </c>
    </row>
    <row r="10" spans="2:3" x14ac:dyDescent="0.25">
      <c r="B10" t="s">
        <v>17</v>
      </c>
      <c r="C10" s="2">
        <f>[7]Sheet1!$N$5</f>
        <v>0.42687009959737249</v>
      </c>
    </row>
    <row r="11" spans="2:3" x14ac:dyDescent="0.25">
      <c r="B11" t="s">
        <v>15</v>
      </c>
      <c r="C11" s="2">
        <f>[7]Sheet1!$K$8</f>
        <v>0.50753056467342195</v>
      </c>
    </row>
    <row r="12" spans="2:3" x14ac:dyDescent="0.25">
      <c r="B12" t="s">
        <v>16</v>
      </c>
      <c r="C12" s="2">
        <f>[7]Sheet1!$K$10</f>
        <v>0.28571428571428564</v>
      </c>
    </row>
    <row r="13" spans="2:3" x14ac:dyDescent="0.25">
      <c r="C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NoContext Araña</vt:lpstr>
      <vt:lpstr>NoContext Individual</vt:lpstr>
      <vt:lpstr>NoContext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2026-06-11T09:48:10Z</dcterms:modified>
</cp:coreProperties>
</file>