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897C57A9-34C4-4496-94DA-1709BDD643CF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U3" i="2"/>
  <c r="U13" i="2" l="1"/>
  <c r="U11" i="2"/>
  <c r="O32" i="1" s="1"/>
  <c r="U9" i="2"/>
  <c r="O31" i="1" s="1"/>
  <c r="U7" i="2"/>
  <c r="O30" i="1" s="1"/>
  <c r="U5" i="2"/>
  <c r="O29" i="1" s="1"/>
  <c r="O28" i="1"/>
  <c r="X14" i="2"/>
  <c r="X13" i="2"/>
  <c r="X12" i="2"/>
  <c r="X11" i="2"/>
  <c r="X10" i="2"/>
  <c r="X9" i="2"/>
  <c r="X8" i="2"/>
  <c r="X7" i="2"/>
  <c r="X6" i="2"/>
  <c r="X5" i="2"/>
  <c r="X4" i="2"/>
  <c r="X3" i="2"/>
  <c r="O11" i="1"/>
  <c r="O10" i="1"/>
  <c r="O8" i="1"/>
  <c r="O9" i="1"/>
  <c r="O7" i="1"/>
  <c r="O6" i="1"/>
  <c r="O33" i="1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A11" i="2" l="1"/>
  <c r="A9" i="2"/>
  <c r="A13" i="2"/>
  <c r="A5" i="2"/>
  <c r="F14" i="2"/>
  <c r="F12" i="2"/>
  <c r="F10" i="2"/>
  <c r="F6" i="2"/>
  <c r="F8" i="2"/>
  <c r="F4" i="2"/>
  <c r="D30" i="2" l="1"/>
  <c r="D31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<sst xmlns="http://schemas.openxmlformats.org/spreadsheetml/2006/main" count="74" uniqueCount="23">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</sst>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0.25046408593634384</c:v>
                </c:pt>
                <c:pt idx="1">
                  <c:v>0.3614464095244152</c:v>
                </c:pt>
                <c:pt idx="2">
                  <c:v>0.30608552013995449</c:v>
                </c:pt>
                <c:pt idx="3">
                  <c:v>0.33298504648141786</c:v>
                </c:pt>
                <c:pt idx="4">
                  <c:v>0.34457161226068356</c:v>
                </c:pt>
                <c:pt idx="5">
                  <c:v>0.34145852561236306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0B5-410B-AD1B-F44B7E298C3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B5-410B-AD1B-F44B7E298C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0.24216835667038414</c:v>
                </c:pt>
                <c:pt idx="1">
                  <c:v>0.2891774891774892</c:v>
                </c:pt>
                <c:pt idx="2">
                  <c:v>0.59090909090909083</c:v>
                </c:pt>
                <c:pt idx="3">
                  <c:v>0.26966133697054484</c:v>
                </c:pt>
                <c:pt idx="4">
                  <c:v>0.2454429350981075</c:v>
                </c:pt>
                <c:pt idx="5">
                  <c:v>0.34806884824584849</c:v>
                </c:pt>
                <c:pt idx="6">
                  <c:v>0.36767440107310773</c:v>
                </c:pt>
                <c:pt idx="7">
                  <c:v>0.3029760016362254</c:v>
                </c:pt>
                <c:pt idx="8">
                  <c:v>0.40265262317879008</c:v>
                </c:pt>
                <c:pt idx="9">
                  <c:v>0.29278271085870472</c:v>
                </c:pt>
                <c:pt idx="10">
                  <c:v>0.40488024086639923</c:v>
                </c:pt>
                <c:pt idx="11">
                  <c:v>0.29147717385586863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125</c:v>
                </c:pt>
                <c:pt idx="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0.45455686274509727</c:v>
                </c:pt>
                <c:pt idx="1">
                  <c:v>0.28282408345004384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full.xlsx" TargetMode="External"/><Relationship Id="rId1" Type="http://schemas.openxmlformats.org/officeDocument/2006/relationships/externalLinkPath" Target="/Users/jsanchez/Downloads/TFM/FinGPT_Runpod/0.%20NoContext/G%20-%20Governance/G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G%20-%20Governance/G_religion.xlsx" TargetMode="External"/><Relationship Id="rId2" Type="http://schemas.openxmlformats.org/officeDocument/2006/relationships/externalLinkPath" Target="file:///C:\Users\jsanchez\Downloads\TFM\FinGPT_Runpod\0.%20NoContext\G%20-%20Governance\G_religion.xlsx" TargetMode="External"/><Relationship Id="rId1" Type="http://schemas.openxmlformats.org/officeDocument/2006/relationships/externalLinkPath" Target="/Users/jsanchez/Downloads/TFM/FinGPT_Runpod/0.%20NoContext/G%20-%20Governance/G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religion_gender.xlsx" TargetMode="External"/><Relationship Id="rId1" Type="http://schemas.openxmlformats.org/officeDocument/2006/relationships/externalLinkPath" Target="/Users/jsanchez/Downloads/TFM/FinGPT_Runpod/0.%20NoContext/G%20-%20Governance/G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gender.xlsx" TargetMode="External"/><Relationship Id="rId1" Type="http://schemas.openxmlformats.org/officeDocument/2006/relationships/externalLinkPath" Target="/Users/jsanchez/Downloads/TFM/FinGPT_Runpod/0.%20NoContext/G%20-%20Governance/G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age_gender.xlsx" TargetMode="External"/><Relationship Id="rId1" Type="http://schemas.openxmlformats.org/officeDocument/2006/relationships/externalLinkPath" Target="/Users/jsanchez/Downloads/TFM/FinGPT_Runpod/0.%20NoContext/G%20-%20Governance/G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age.xlsx" TargetMode="External"/><Relationship Id="rId1" Type="http://schemas.openxmlformats.org/officeDocument/2006/relationships/externalLinkPath" Target="/Users/jsanchez/Downloads/TFM/FinGPT_Runpod/0.%20NoContext/G%20-%20Governance/G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NoContext/G%20-%20Governance/G_age_religion.xlsx" TargetMode="External"/><Relationship Id="rId1" Type="http://schemas.openxmlformats.org/officeDocument/2006/relationships/externalLinkPath" Target="/Users/jsanchez/Downloads/TFM/FinGPT_Runpod/0.%20NoContext/G%20-%20Governance/G_age_religion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285</v>
          </cell>
          <cell r="N5">
            <v>0.35814547787770007</v>
          </cell>
        </row>
        <row r="8">
          <cell r="H8">
            <v>125</v>
          </cell>
          <cell r="K8">
            <v>0.45455686274509727</v>
          </cell>
        </row>
        <row r="10">
          <cell r="H10">
            <v>160</v>
          </cell>
          <cell r="K10">
            <v>0.28282408345004384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0.25046408593634384</v>
          </cell>
        </row>
        <row r="8">
          <cell r="K8">
            <v>0.24216835667038414</v>
          </cell>
        </row>
        <row r="10">
          <cell r="K10">
            <v>0.2891774891774892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0.3614464095244152</v>
          </cell>
        </row>
        <row r="8">
          <cell r="K8">
            <v>0.59090909090909083</v>
          </cell>
        </row>
        <row r="10">
          <cell r="K10">
            <v>0.26966133697054484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22</v>
          </cell>
          <cell r="N5">
            <v>0.30608552013995449</v>
          </cell>
        </row>
        <row r="8">
          <cell r="K8">
            <v>0.2454429350981075</v>
          </cell>
        </row>
        <row r="10">
          <cell r="K10">
            <v>0.34806884824584849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235</v>
          </cell>
          <cell r="N5">
            <v>0.33298504648141786</v>
          </cell>
        </row>
        <row r="8">
          <cell r="K8">
            <v>0.36767440107310773</v>
          </cell>
        </row>
        <row r="10">
          <cell r="K10">
            <v>0.3029760016362254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227</v>
          </cell>
          <cell r="N5">
            <v>0.34457161226068356</v>
          </cell>
        </row>
        <row r="8">
          <cell r="K8">
            <v>0.40265262317879008</v>
          </cell>
        </row>
        <row r="10">
          <cell r="K10">
            <v>0.29278271085870472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270</v>
          </cell>
          <cell r="N5">
            <v>0.34145852561236306</v>
          </cell>
        </row>
        <row r="8">
          <cell r="K8">
            <v>0.40488024086639923</v>
          </cell>
        </row>
        <row r="10">
          <cell r="K10">
            <v>0.29147717385586863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</row>
        <row r="8">
          <cell r="H8">
            <v>13</v>
          </cell>
        </row>
        <row r="10">
          <cell r="H10">
            <v>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</row>
        <row r="8">
          <cell r="H8">
            <v>18</v>
          </cell>
        </row>
        <row r="10">
          <cell r="H10">
            <v>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</row>
        <row r="8">
          <cell r="H8">
            <v>10</v>
          </cell>
        </row>
        <row r="10">
          <cell r="H10">
            <v>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</row>
        <row r="8">
          <cell r="H8">
            <v>107</v>
          </cell>
        </row>
        <row r="10">
          <cell r="H10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</row>
        <row r="8">
          <cell r="H8">
            <v>97</v>
          </cell>
        </row>
        <row r="10">
          <cell r="H10">
            <v>15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</row>
        <row r="8">
          <cell r="H8">
            <v>132</v>
          </cell>
        </row>
        <row r="10">
          <cell r="H10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8" zoomScale="115" zoomScaleNormal="115" workbookViewId="0">
      <selection activeCell="O11" sqref="O11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17</v>
      </c>
    </row>
    <row r="7" spans="14:15" x14ac:dyDescent="0.25">
      <c r="N7" t="s">
        <v>19</v>
      </c>
      <c r="O7">
        <f>[3]Sheet1!$H$5</f>
        <v>14</v>
      </c>
    </row>
    <row r="8" spans="14:15" x14ac:dyDescent="0.25">
      <c r="N8" t="s">
        <v>20</v>
      </c>
      <c r="O8">
        <f>[4]Sheet1!$H$5</f>
        <v>22</v>
      </c>
    </row>
    <row r="9" spans="14:15" x14ac:dyDescent="0.25">
      <c r="N9" t="s">
        <v>18</v>
      </c>
      <c r="O9">
        <f>[5]Sheet1!$H$5</f>
        <v>235</v>
      </c>
    </row>
    <row r="10" spans="14:15" x14ac:dyDescent="0.25">
      <c r="N10" t="s">
        <v>1</v>
      </c>
      <c r="O10">
        <f>[6]Sheet1!$H$5</f>
        <v>227</v>
      </c>
    </row>
    <row r="11" spans="14:15" x14ac:dyDescent="0.25">
      <c r="N11" t="s">
        <v>2</v>
      </c>
      <c r="O11">
        <f>[7]Sheet1!$H$5</f>
        <v>270</v>
      </c>
    </row>
    <row r="28" spans="14:15" x14ac:dyDescent="0.25">
      <c r="N28" t="s">
        <v>0</v>
      </c>
      <c r="O28" s="2">
        <f>'NoContext Individual'!U3</f>
        <v>0.25046408593634384</v>
      </c>
    </row>
    <row r="29" spans="14:15" x14ac:dyDescent="0.25">
      <c r="N29" t="s">
        <v>19</v>
      </c>
      <c r="O29" s="2">
        <f>'NoContext Individual'!U5</f>
        <v>0.3614464095244152</v>
      </c>
    </row>
    <row r="30" spans="14:15" x14ac:dyDescent="0.25">
      <c r="N30" t="s">
        <v>20</v>
      </c>
      <c r="O30" s="2">
        <f>'NoContext Individual'!U7</f>
        <v>0.30608552013995449</v>
      </c>
    </row>
    <row r="31" spans="14:15" x14ac:dyDescent="0.25">
      <c r="N31" t="s">
        <v>18</v>
      </c>
      <c r="O31" s="2">
        <f>'NoContext Individual'!U9</f>
        <v>0.33298504648141786</v>
      </c>
    </row>
    <row r="32" spans="14:15" x14ac:dyDescent="0.25">
      <c r="N32" t="s">
        <v>1</v>
      </c>
      <c r="O32" s="2">
        <f>'NoContext Individual'!U11</f>
        <v>0.34457161226068356</v>
      </c>
    </row>
    <row r="33" spans="14:15" x14ac:dyDescent="0.25">
      <c r="N33" t="s">
        <v>2</v>
      </c>
      <c r="O33" s="2">
        <f>'NoContext Individual'!U13</f>
        <v>0.34145852561236306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topLeftCell="E1" zoomScale="85" zoomScaleNormal="85" workbookViewId="0">
      <selection activeCell="U3" sqref="U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17</v>
      </c>
      <c r="B3" t="s">
        <v>0</v>
      </c>
      <c r="C3" t="s">
        <v>4</v>
      </c>
      <c r="D3">
        <f>[8]Sheet1!$H$8</f>
        <v>13</v>
      </c>
      <c r="U3" s="2">
        <f>[2]Sheet1!$N$5</f>
        <v>0.25046408593634384</v>
      </c>
      <c r="V3" t="s">
        <v>0</v>
      </c>
      <c r="W3" t="s">
        <v>4</v>
      </c>
      <c r="X3" s="2">
        <f>[2]Sheet1!$K$8</f>
        <v>0.24216835667038414</v>
      </c>
    </row>
    <row r="4" spans="1:24" x14ac:dyDescent="0.25">
      <c r="C4" t="s">
        <v>3</v>
      </c>
      <c r="D4">
        <f>[8]Sheet1!$H$10</f>
        <v>2</v>
      </c>
      <c r="F4">
        <f>SUM(D3:D4)</f>
        <v>15</v>
      </c>
      <c r="U4" s="2"/>
      <c r="W4" t="s">
        <v>3</v>
      </c>
      <c r="X4" s="2">
        <f>[2]Sheet1!$K$10</f>
        <v>0.2891774891774892</v>
      </c>
    </row>
    <row r="5" spans="1:24" x14ac:dyDescent="0.25">
      <c r="A5">
        <f>'NoContext Araña'!O7</f>
        <v>14</v>
      </c>
      <c r="B5" t="s">
        <v>19</v>
      </c>
      <c r="C5" t="s">
        <v>6</v>
      </c>
      <c r="D5">
        <f>[9]Sheet1!$H$8</f>
        <v>18</v>
      </c>
      <c r="U5" s="2">
        <f>[3]Sheet1!$N$5</f>
        <v>0.3614464095244152</v>
      </c>
      <c r="V5" t="s">
        <v>19</v>
      </c>
      <c r="W5" t="s">
        <v>6</v>
      </c>
      <c r="X5" s="2">
        <f>[3]Sheet1!$K$8</f>
        <v>0.59090909090909083</v>
      </c>
    </row>
    <row r="6" spans="1:24" x14ac:dyDescent="0.25">
      <c r="C6" t="s">
        <v>5</v>
      </c>
      <c r="D6">
        <f>[9]Sheet1!$H$10</f>
        <v>2</v>
      </c>
      <c r="F6">
        <f>SUM(D5:D6)</f>
        <v>20</v>
      </c>
      <c r="U6" s="2"/>
      <c r="W6" t="s">
        <v>5</v>
      </c>
      <c r="X6" s="2">
        <f>[3]Sheet1!$K$10</f>
        <v>0.26966133697054484</v>
      </c>
    </row>
    <row r="7" spans="1:24" x14ac:dyDescent="0.25">
      <c r="A7">
        <f>'NoContext Araña'!O8</f>
        <v>22</v>
      </c>
      <c r="B7" t="s">
        <v>20</v>
      </c>
      <c r="C7" t="s">
        <v>7</v>
      </c>
      <c r="D7">
        <f>[10]Sheet1!$H$8</f>
        <v>10</v>
      </c>
      <c r="U7" s="2">
        <f>[4]Sheet1!$N$5</f>
        <v>0.30608552013995449</v>
      </c>
      <c r="V7" t="s">
        <v>20</v>
      </c>
      <c r="W7" t="s">
        <v>7</v>
      </c>
      <c r="X7" s="2">
        <f>[4]Sheet1!$K$8</f>
        <v>0.2454429350981075</v>
      </c>
    </row>
    <row r="8" spans="1:24" x14ac:dyDescent="0.25">
      <c r="C8" t="s">
        <v>8</v>
      </c>
      <c r="D8">
        <f>[10]Sheet1!$H$10</f>
        <v>7</v>
      </c>
      <c r="F8">
        <f t="shared" ref="F8" si="0">SUM(D7:D8)</f>
        <v>17</v>
      </c>
      <c r="U8" s="2"/>
      <c r="W8" t="s">
        <v>8</v>
      </c>
      <c r="X8" s="2">
        <f>[4]Sheet1!$K$10</f>
        <v>0.34806884824584849</v>
      </c>
    </row>
    <row r="9" spans="1:24" x14ac:dyDescent="0.25">
      <c r="A9">
        <f>'NoContext Araña'!O9</f>
        <v>235</v>
      </c>
      <c r="B9" t="s">
        <v>18</v>
      </c>
      <c r="C9" t="s">
        <v>9</v>
      </c>
      <c r="D9">
        <f>[11]Sheet1!$H$8</f>
        <v>107</v>
      </c>
      <c r="U9" s="2">
        <f>[5]Sheet1!$N$5</f>
        <v>0.33298504648141786</v>
      </c>
      <c r="V9" t="s">
        <v>18</v>
      </c>
      <c r="W9" t="s">
        <v>9</v>
      </c>
      <c r="X9" s="2">
        <f>[5]Sheet1!$K$8</f>
        <v>0.36767440107310773</v>
      </c>
    </row>
    <row r="10" spans="1:24" x14ac:dyDescent="0.25">
      <c r="C10" t="s">
        <v>10</v>
      </c>
      <c r="D10">
        <f>[11]Sheet1!$H$10</f>
        <v>1</v>
      </c>
      <c r="F10">
        <f t="shared" ref="F10" si="1">SUM(D9:D10)</f>
        <v>108</v>
      </c>
      <c r="U10" s="2"/>
      <c r="W10" t="s">
        <v>10</v>
      </c>
      <c r="X10" s="2">
        <f>[5]Sheet1!$K$10</f>
        <v>0.3029760016362254</v>
      </c>
    </row>
    <row r="11" spans="1:24" x14ac:dyDescent="0.25">
      <c r="A11">
        <f>'NoContext Araña'!O10</f>
        <v>227</v>
      </c>
      <c r="B11" t="s">
        <v>1</v>
      </c>
      <c r="C11" t="s">
        <v>11</v>
      </c>
      <c r="D11">
        <f>[12]Sheet1!$H$8</f>
        <v>97</v>
      </c>
      <c r="U11" s="2">
        <f>[6]Sheet1!$N$5</f>
        <v>0.34457161226068356</v>
      </c>
      <c r="V11" t="s">
        <v>1</v>
      </c>
      <c r="W11" t="s">
        <v>11</v>
      </c>
      <c r="X11" s="2">
        <f>[6]Sheet1!$K$8</f>
        <v>0.40265262317879008</v>
      </c>
    </row>
    <row r="12" spans="1:24" x14ac:dyDescent="0.25">
      <c r="C12" t="s">
        <v>12</v>
      </c>
      <c r="D12">
        <f>[12]Sheet1!$H$10</f>
        <v>15</v>
      </c>
      <c r="F12">
        <f t="shared" ref="F12" si="2">SUM(D11:D12)</f>
        <v>112</v>
      </c>
      <c r="U12" s="2"/>
      <c r="W12" t="s">
        <v>12</v>
      </c>
      <c r="X12" s="2">
        <f>[6]Sheet1!$K$10</f>
        <v>0.29278271085870472</v>
      </c>
    </row>
    <row r="13" spans="1:24" x14ac:dyDescent="0.25">
      <c r="A13">
        <f>'NoContext Araña'!O11</f>
        <v>270</v>
      </c>
      <c r="B13" t="s">
        <v>2</v>
      </c>
      <c r="C13" t="s">
        <v>13</v>
      </c>
      <c r="D13">
        <f>[13]Sheet1!$H$8</f>
        <v>132</v>
      </c>
      <c r="U13" s="2">
        <f>[7]Sheet1!$N$5</f>
        <v>0.34145852561236306</v>
      </c>
      <c r="V13" t="s">
        <v>2</v>
      </c>
      <c r="W13" t="s">
        <v>13</v>
      </c>
      <c r="X13" s="2">
        <f>[7]Sheet1!$K$8</f>
        <v>0.40488024086639923</v>
      </c>
    </row>
    <row r="14" spans="1:24" x14ac:dyDescent="0.25">
      <c r="C14" t="s">
        <v>14</v>
      </c>
      <c r="D14">
        <f>[13]Sheet1!$H$10</f>
        <v>7</v>
      </c>
      <c r="F14">
        <f t="shared" ref="F14" si="3">SUM(D13:D14)</f>
        <v>139</v>
      </c>
      <c r="U14" s="2"/>
      <c r="W14" t="s">
        <v>14</v>
      </c>
      <c r="X14" s="2">
        <f>[7]Sheet1!$K$10</f>
        <v>0.29147717385586863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Z10" sqref="Z10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285</v>
      </c>
    </row>
    <row r="4" spans="2:3" x14ac:dyDescent="0.25">
      <c r="B4" t="s">
        <v>15</v>
      </c>
      <c r="C4">
        <f>[1]Sheet1!$H$8</f>
        <v>125</v>
      </c>
    </row>
    <row r="5" spans="2:3" x14ac:dyDescent="0.25">
      <c r="B5" t="s">
        <v>16</v>
      </c>
      <c r="C5">
        <f>[1]Sheet1!$H$10</f>
        <v>160</v>
      </c>
    </row>
    <row r="8" spans="2:3" x14ac:dyDescent="0.25">
      <c r="B8" t="s">
        <v>22</v>
      </c>
    </row>
    <row r="9" spans="2:3" x14ac:dyDescent="0.25">
      <c r="B9" t="s">
        <v>17</v>
      </c>
      <c r="C9" s="2">
        <f>[1]Sheet1!$N$5</f>
        <v>0.35814547787770007</v>
      </c>
    </row>
    <row r="10" spans="2:3" x14ac:dyDescent="0.25">
      <c r="B10" t="s">
        <v>15</v>
      </c>
      <c r="C10" s="2">
        <f>[1]Sheet1!$K$8</f>
        <v>0.45455686274509727</v>
      </c>
    </row>
    <row r="11" spans="2:3" x14ac:dyDescent="0.25">
      <c r="B11" t="s">
        <v>16</v>
      </c>
      <c r="C11" s="2">
        <f>[1]Sheet1!$K$10</f>
        <v>0.28282408345004384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2026-06-11T09:57:36Z</dcterms:modified>
</cp:coreProperties>
</file>