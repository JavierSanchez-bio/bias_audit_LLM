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8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9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. Gráficos finales\"/>
    </mc:Choice>
  </mc:AlternateContent>
  <xr:revisionPtr revIDLastSave="0" documentId="13_ncr:1_{BBCA371A-C2C2-42CB-8F3E-18B458A341D2}" xr6:coauthVersionLast="47" xr6:coauthVersionMax="47" xr10:uidLastSave="{00000000-0000-0000-0000-000000000000}"/>
  <bookViews>
    <workbookView xWindow="-28920" yWindow="-195" windowWidth="29040" windowHeight="15720" activeTab="2" xr2:uid="{00000000-000D-0000-FFFF-FFFF00000000}"/>
  </bookViews>
  <sheets>
    <sheet name="E_Llama_vs_FinGPT" sheetId="1" r:id="rId1"/>
    <sheet name="S_Llama_vs_FinGPT" sheetId="2" r:id="rId2"/>
    <sheet name="G_Llama_vs_FinGPT" sheetId="3" r:id="rId3"/>
    <sheet name="Llama_E_Vigeo_vs_NoContext" sheetId="4" r:id="rId4"/>
    <sheet name="Llama_S_Vigeo_vs_NoContext" sheetId="5" r:id="rId5"/>
    <sheet name="Llama_G_Vigeo_vs_NoContext" sheetId="6" r:id="rId6"/>
    <sheet name="FinGPT_E_Vigeo_vs_NoContext" sheetId="7" r:id="rId7"/>
    <sheet name="FinGPT_S_Vigeo_vs_NoContext" sheetId="8" r:id="rId8"/>
    <sheet name="FinGPT_G_Vigeo_vs_NoContext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9" i="3" l="1"/>
  <c r="L48" i="3"/>
  <c r="L47" i="3"/>
  <c r="L46" i="3"/>
  <c r="L45" i="3"/>
  <c r="L44" i="3"/>
  <c r="R28" i="9" a="1"/>
  <c r="R28" i="9" s="1"/>
  <c r="O28" i="9" a="1"/>
  <c r="O28" i="9" s="1"/>
  <c r="S31" i="9"/>
  <c r="P33" i="9"/>
  <c r="Q28" i="8" a="1"/>
  <c r="Q28" i="8" s="1"/>
  <c r="N28" i="8" a="1"/>
  <c r="N28" i="8" s="1"/>
  <c r="R32" i="8"/>
  <c r="R31" i="8"/>
  <c r="R29" i="8"/>
  <c r="R33" i="8"/>
  <c r="O32" i="8"/>
  <c r="Q28" i="7" a="1"/>
  <c r="Q28" i="7" s="1"/>
  <c r="R28" i="7" s="1"/>
  <c r="N28" i="7" a="1"/>
  <c r="N28" i="7" s="1"/>
  <c r="R32" i="7"/>
  <c r="R31" i="7"/>
  <c r="R29" i="7"/>
  <c r="O31" i="7"/>
  <c r="Q28" i="6" a="1"/>
  <c r="Q28" i="6" s="1"/>
  <c r="R28" i="6" s="1"/>
  <c r="N28" i="6" a="1"/>
  <c r="N28" i="6" s="1"/>
  <c r="O28" i="6" s="1"/>
  <c r="O33" i="6"/>
  <c r="R32" i="6"/>
  <c r="R31" i="6"/>
  <c r="O30" i="6"/>
  <c r="R29" i="6"/>
  <c r="O32" i="6"/>
  <c r="T27" i="5" a="1"/>
  <c r="T27" i="5" s="1"/>
  <c r="U27" i="5" s="1"/>
  <c r="Q27" i="5" a="1"/>
  <c r="Q27" i="5" s="1"/>
  <c r="U31" i="5"/>
  <c r="U30" i="5"/>
  <c r="U28" i="5"/>
  <c r="R30" i="5"/>
  <c r="R28" i="4" a="1"/>
  <c r="R28" i="4" s="1"/>
  <c r="O28" i="4" a="1"/>
  <c r="O28" i="4" s="1"/>
  <c r="S33" i="4"/>
  <c r="P33" i="4"/>
  <c r="Q44" i="3" a="1"/>
  <c r="Q44" i="3" s="1"/>
  <c r="R44" i="3" s="1"/>
  <c r="N44" i="3" a="1"/>
  <c r="N44" i="3" s="1"/>
  <c r="E44" i="3" a="1"/>
  <c r="E44" i="3" s="1"/>
  <c r="B44" i="3" a="1"/>
  <c r="B44" i="3" s="1"/>
  <c r="C49" i="3"/>
  <c r="O47" i="3"/>
  <c r="C46" i="3"/>
  <c r="O49" i="3"/>
  <c r="F48" i="3"/>
  <c r="C48" i="3"/>
  <c r="R46" i="2" a="1"/>
  <c r="R46" i="2" s="1"/>
  <c r="O46" i="2" a="1"/>
  <c r="O46" i="2" s="1"/>
  <c r="P46" i="2" s="1"/>
  <c r="F46" i="2" a="1"/>
  <c r="F46" i="2" s="1"/>
  <c r="C46" i="2" a="1"/>
  <c r="C46" i="2" s="1"/>
  <c r="D46" i="2" s="1"/>
  <c r="D51" i="2"/>
  <c r="P49" i="2"/>
  <c r="D48" i="2"/>
  <c r="S51" i="2"/>
  <c r="G50" i="2"/>
  <c r="Q45" i="1" a="1"/>
  <c r="Q45" i="1" s="1"/>
  <c r="O45" i="1"/>
  <c r="O50" i="1"/>
  <c r="R49" i="1"/>
  <c r="O49" i="1"/>
  <c r="O48" i="1"/>
  <c r="O47" i="1"/>
  <c r="O46" i="1"/>
  <c r="R50" i="1"/>
  <c r="N45" i="1" a="1"/>
  <c r="N45" i="1" s="1"/>
  <c r="F46" i="1"/>
  <c r="F47" i="1"/>
  <c r="F48" i="1"/>
  <c r="F49" i="1"/>
  <c r="F50" i="1"/>
  <c r="F45" i="1"/>
  <c r="C46" i="1"/>
  <c r="C47" i="1"/>
  <c r="C48" i="1"/>
  <c r="C49" i="1"/>
  <c r="C50" i="1"/>
  <c r="C45" i="1"/>
  <c r="E45" i="1" a="1"/>
  <c r="E45" i="1" s="1"/>
  <c r="B45" i="1" a="1"/>
  <c r="B45" i="1" s="1"/>
  <c r="S30" i="9" l="1"/>
  <c r="S33" i="9"/>
  <c r="S28" i="9"/>
  <c r="P31" i="9"/>
  <c r="P29" i="9"/>
  <c r="P32" i="9"/>
  <c r="P28" i="9"/>
  <c r="S29" i="9"/>
  <c r="S32" i="9"/>
  <c r="P30" i="9"/>
  <c r="O29" i="8"/>
  <c r="O28" i="8"/>
  <c r="O30" i="8"/>
  <c r="O33" i="8"/>
  <c r="R28" i="8"/>
  <c r="O31" i="8"/>
  <c r="R30" i="8"/>
  <c r="O29" i="7"/>
  <c r="O32" i="7"/>
  <c r="O28" i="7"/>
  <c r="O30" i="7"/>
  <c r="O33" i="7"/>
  <c r="R30" i="7"/>
  <c r="R33" i="7"/>
  <c r="R30" i="6"/>
  <c r="R33" i="6"/>
  <c r="O31" i="6"/>
  <c r="O29" i="6"/>
  <c r="R28" i="5"/>
  <c r="R31" i="5"/>
  <c r="R27" i="5"/>
  <c r="R29" i="5"/>
  <c r="R32" i="5"/>
  <c r="U29" i="5"/>
  <c r="U32" i="5"/>
  <c r="P28" i="4"/>
  <c r="S28" i="4"/>
  <c r="P31" i="4"/>
  <c r="P29" i="4"/>
  <c r="P32" i="4"/>
  <c r="S32" i="4"/>
  <c r="S31" i="4"/>
  <c r="S29" i="4"/>
  <c r="P30" i="4"/>
  <c r="S30" i="4"/>
  <c r="R45" i="3"/>
  <c r="F47" i="3"/>
  <c r="F44" i="3"/>
  <c r="F46" i="3"/>
  <c r="R47" i="3"/>
  <c r="F49" i="3"/>
  <c r="C44" i="3"/>
  <c r="O44" i="3"/>
  <c r="F45" i="3"/>
  <c r="R46" i="3"/>
  <c r="R49" i="3"/>
  <c r="O45" i="3"/>
  <c r="C47" i="3"/>
  <c r="O48" i="3"/>
  <c r="R48" i="3"/>
  <c r="C45" i="3"/>
  <c r="O46" i="3"/>
  <c r="S47" i="2"/>
  <c r="S50" i="2"/>
  <c r="S46" i="2"/>
  <c r="G48" i="2"/>
  <c r="S49" i="2"/>
  <c r="D47" i="2"/>
  <c r="P51" i="2"/>
  <c r="P47" i="2"/>
  <c r="D49" i="2"/>
  <c r="P50" i="2"/>
  <c r="G49" i="2"/>
  <c r="G46" i="2"/>
  <c r="G51" i="2"/>
  <c r="P48" i="2"/>
  <c r="D50" i="2"/>
  <c r="G47" i="2"/>
  <c r="S48" i="2"/>
  <c r="R45" i="1"/>
  <c r="R48" i="1"/>
  <c r="R46" i="1"/>
  <c r="R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<sst xmlns="http://schemas.openxmlformats.org/spreadsheetml/2006/main" count="42" uniqueCount="14">
  <si>
    <t>NoCOntex</t>
  </si>
  <si>
    <t>Vigeo Eiris</t>
  </si>
  <si>
    <t>NO CONTEXT</t>
  </si>
  <si>
    <t>VIGEO EIRIS</t>
  </si>
  <si>
    <t>VIGEO  EIRIS</t>
  </si>
  <si>
    <t>Llama</t>
  </si>
  <si>
    <t>FinGPT</t>
  </si>
  <si>
    <t>No Context</t>
  </si>
  <si>
    <t>Age-religion</t>
  </si>
  <si>
    <t>Age</t>
  </si>
  <si>
    <t>Gender-age</t>
  </si>
  <si>
    <t>Gender</t>
  </si>
  <si>
    <t>Religion-gender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</si>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</sst>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Comparison of discrepancies using Vigeo Eiris in Environmental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'[3]Vigeo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'[3]Vigeo Araña'!$O$6:$O$11</c:f>
              <c:numCache>
                <c:formatCode>General</c:formatCode>
                <c:ptCount val="6"/>
                <c:pt idx="0">
                  <c:v>18</c:v>
                </c:pt>
                <c:pt idx="1">
                  <c:v>31</c:v>
                </c:pt>
                <c:pt idx="2">
                  <c:v>9</c:v>
                </c:pt>
                <c:pt idx="3">
                  <c:v>20</c:v>
                </c:pt>
                <c:pt idx="4">
                  <c:v>12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34-4FDF-A27E-895737D9062A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'[4]Vigeo Araña'!$O$6:$O$11</c:f>
              <c:numCache>
                <c:formatCode>General</c:formatCode>
                <c:ptCount val="6"/>
                <c:pt idx="0">
                  <c:v>14</c:v>
                </c:pt>
                <c:pt idx="1">
                  <c:v>13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4-4FDF-A27E-895737D90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Comparison of Deviation using Vigeo Eiris in Environmental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E_Llama_vs_FinGPT!$R$45:$R$50</c:f>
              <c:numCache>
                <c:formatCode>0%</c:formatCode>
                <c:ptCount val="6"/>
                <c:pt idx="0">
                  <c:v>7.5983590100387341E-2</c:v>
                </c:pt>
                <c:pt idx="1">
                  <c:v>9.8221197465578794E-2</c:v>
                </c:pt>
                <c:pt idx="2">
                  <c:v>8.099637050161787E-2</c:v>
                </c:pt>
                <c:pt idx="3">
                  <c:v>0.1131897252055061</c:v>
                </c:pt>
                <c:pt idx="4">
                  <c:v>0.10103029689334493</c:v>
                </c:pt>
                <c:pt idx="5">
                  <c:v>0.11640269598516091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99-4F94-982F-AADD9021EBAF}"/>
            </c:ext>
          </c:extLst>
        </c:ser>
        <c:ser>
          <c:idx val="0"/>
          <c:order val="1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'[3]Vigeo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E_Llama_vs_FinGPT!$O$45:$O$50</c:f>
              <c:numCache>
                <c:formatCode>0%</c:formatCode>
                <c:ptCount val="6"/>
                <c:pt idx="0">
                  <c:v>0.1384787969271008</c:v>
                </c:pt>
                <c:pt idx="1">
                  <c:v>0.1476779111211125</c:v>
                </c:pt>
                <c:pt idx="2">
                  <c:v>0.17536726470897099</c:v>
                </c:pt>
                <c:pt idx="3">
                  <c:v>0.13552850856826965</c:v>
                </c:pt>
                <c:pt idx="4">
                  <c:v>0.12488679478827656</c:v>
                </c:pt>
                <c:pt idx="5">
                  <c:v>0.20063289848366275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99-4F94-982F-AADD9021E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Number of discrepancies by Bias without using Vigeo Eiris - </a:t>
            </a:r>
            <a:r>
              <a:rPr lang="es-ES" sz="1600" b="1" i="0" u="none" strike="noStrike" kern="1200" baseline="0">
                <a:solidFill>
                  <a:srgbClr val="44546A"/>
                </a:solidFill>
              </a:rPr>
              <a:t>(Environment -  E)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'[1]NoContext Araña'!$O$6:$O$11</c:f>
              <c:numCache>
                <c:formatCode>General</c:formatCode>
                <c:ptCount val="6"/>
                <c:pt idx="0">
                  <c:v>15</c:v>
                </c:pt>
                <c:pt idx="1">
                  <c:v>20</c:v>
                </c:pt>
                <c:pt idx="2">
                  <c:v>17</c:v>
                </c:pt>
                <c:pt idx="3">
                  <c:v>108</c:v>
                </c:pt>
                <c:pt idx="4">
                  <c:v>112</c:v>
                </c:pt>
                <c:pt idx="5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E0-4BD4-AC65-387C39ACDE91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'[2]NoContext Araña'!$O$6:$O$11</c:f>
              <c:numCache>
                <c:formatCode>General</c:formatCode>
                <c:ptCount val="6"/>
                <c:pt idx="0">
                  <c:v>29</c:v>
                </c:pt>
                <c:pt idx="1">
                  <c:v>16</c:v>
                </c:pt>
                <c:pt idx="2">
                  <c:v>35</c:v>
                </c:pt>
                <c:pt idx="3">
                  <c:v>183</c:v>
                </c:pt>
                <c:pt idx="4">
                  <c:v>185</c:v>
                </c:pt>
                <c:pt idx="5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E0-4BD4-AC65-387C39ACD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by Bias without using Vigeo Eiris - </a:t>
            </a:r>
            <a:r>
              <a:rPr lang="es-ES" sz="1600" b="1" i="0" u="none" strike="noStrike" kern="1200" baseline="0">
                <a:solidFill>
                  <a:srgbClr val="44546A"/>
                </a:solidFill>
              </a:rPr>
              <a:t>(Environment -  E)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E_Llama_vs_FinGPT!$C$45:$C$50</c:f>
              <c:numCache>
                <c:formatCode>0%</c:formatCode>
                <c:ptCount val="6"/>
                <c:pt idx="0">
                  <c:v>0.40259707134886474</c:v>
                </c:pt>
                <c:pt idx="1">
                  <c:v>0.40976958525345608</c:v>
                </c:pt>
                <c:pt idx="2">
                  <c:v>0.23124759893841573</c:v>
                </c:pt>
                <c:pt idx="3">
                  <c:v>0.18699844564586621</c:v>
                </c:pt>
                <c:pt idx="4">
                  <c:v>0.27646980143855754</c:v>
                </c:pt>
                <c:pt idx="5">
                  <c:v>0.23156439429776335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2E-4FBD-BAA3-0FB943DD5F1E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E_Llama_vs_FinGPT!$F$45:$F$50</c:f>
              <c:numCache>
                <c:formatCode>0%</c:formatCode>
                <c:ptCount val="6"/>
                <c:pt idx="0">
                  <c:v>9.1754903064947019E-2</c:v>
                </c:pt>
                <c:pt idx="1">
                  <c:v>0.13936988391992566</c:v>
                </c:pt>
                <c:pt idx="2">
                  <c:v>0.17982236422017672</c:v>
                </c:pt>
                <c:pt idx="3">
                  <c:v>0.17028354644939522</c:v>
                </c:pt>
                <c:pt idx="4">
                  <c:v>0.16823924726947109</c:v>
                </c:pt>
                <c:pt idx="5">
                  <c:v>0.18755184513138759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2E-4FBD-BAA3-0FB943DD5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Comparison of Discrepancies without using Vigeo Eiris in Social audits - (Social - 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'[5]NoContext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'[5]NoContext Araña'!$O$6:$O$11</c:f>
              <c:numCache>
                <c:formatCode>General</c:formatCode>
                <c:ptCount val="6"/>
                <c:pt idx="0">
                  <c:v>25</c:v>
                </c:pt>
                <c:pt idx="1">
                  <c:v>16</c:v>
                </c:pt>
                <c:pt idx="2">
                  <c:v>25</c:v>
                </c:pt>
                <c:pt idx="3">
                  <c:v>51</c:v>
                </c:pt>
                <c:pt idx="4">
                  <c:v>45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29-4DE4-83BF-C93212DD2410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'[6]NoContext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'[6]NoContext Araña'!$O$6:$O$11</c:f>
              <c:numCache>
                <c:formatCode>General</c:formatCode>
                <c:ptCount val="6"/>
                <c:pt idx="0">
                  <c:v>27</c:v>
                </c:pt>
                <c:pt idx="1">
                  <c:v>8</c:v>
                </c:pt>
                <c:pt idx="2">
                  <c:v>37</c:v>
                </c:pt>
                <c:pt idx="3">
                  <c:v>259</c:v>
                </c:pt>
                <c:pt idx="4">
                  <c:v>232</c:v>
                </c:pt>
                <c:pt idx="5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29-4DE4-83BF-C93212DD2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Comparison of Deviation without using Vigeo Eiris in Social audits - (Social - 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'[5]NoContext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S_Llama_vs_FinGPT!$D$46:$D$51</c:f>
              <c:numCache>
                <c:formatCode>0%</c:formatCode>
                <c:ptCount val="6"/>
                <c:pt idx="0">
                  <c:v>0.13825425273701131</c:v>
                </c:pt>
                <c:pt idx="1">
                  <c:v>0.11285622988767531</c:v>
                </c:pt>
                <c:pt idx="2">
                  <c:v>4.937728937728935E-2</c:v>
                </c:pt>
                <c:pt idx="3">
                  <c:v>0.10302259152345937</c:v>
                </c:pt>
                <c:pt idx="4">
                  <c:v>0.13555532590015348</c:v>
                </c:pt>
                <c:pt idx="5">
                  <c:v>0.13228785321261816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82-4988-83BD-D59D744DEA23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'[6]NoContext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S_Llama_vs_FinGPT!$G$46:$G$51</c:f>
              <c:numCache>
                <c:formatCode>0%</c:formatCode>
                <c:ptCount val="6"/>
                <c:pt idx="0">
                  <c:v>0.12224343169225058</c:v>
                </c:pt>
                <c:pt idx="1">
                  <c:v>0.13188976377952755</c:v>
                </c:pt>
                <c:pt idx="2">
                  <c:v>0.11007055611038931</c:v>
                </c:pt>
                <c:pt idx="3">
                  <c:v>0.15123290926570118</c:v>
                </c:pt>
                <c:pt idx="4">
                  <c:v>0.14798006491434024</c:v>
                </c:pt>
                <c:pt idx="5">
                  <c:v>0.13937239464758713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82-4988-83BD-D59D744DE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Comparison of Discrepancies using Vigeo Eiris in Social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'[7]Vigeo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'[7]Vigeo Araña'!$O$6:$O$11</c:f>
              <c:numCache>
                <c:formatCode>General</c:formatCode>
                <c:ptCount val="6"/>
                <c:pt idx="0">
                  <c:v>12</c:v>
                </c:pt>
                <c:pt idx="1">
                  <c:v>13</c:v>
                </c:pt>
                <c:pt idx="2">
                  <c:v>17</c:v>
                </c:pt>
                <c:pt idx="3">
                  <c:v>55</c:v>
                </c:pt>
                <c:pt idx="4">
                  <c:v>50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A4-4548-A981-A75E3DD2B25F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'[8]Vigeo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'[8]Vigeo Araña'!$O$6:$O$11</c:f>
              <c:numCache>
                <c:formatCode>General</c:formatCode>
                <c:ptCount val="6"/>
                <c:pt idx="0">
                  <c:v>42</c:v>
                </c:pt>
                <c:pt idx="1">
                  <c:v>37</c:v>
                </c:pt>
                <c:pt idx="2">
                  <c:v>20</c:v>
                </c:pt>
                <c:pt idx="3">
                  <c:v>46</c:v>
                </c:pt>
                <c:pt idx="4">
                  <c:v>39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A4-4548-A981-A75E3DD2B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Comparison of Deviation using Vigeo Eiris in Social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'[7]Vigeo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S_Llama_vs_FinGPT!$P$46:$P$51</c:f>
              <c:numCache>
                <c:formatCode>0%</c:formatCode>
                <c:ptCount val="6"/>
                <c:pt idx="0">
                  <c:v>0.70356234096692116</c:v>
                </c:pt>
                <c:pt idx="1">
                  <c:v>0.35300452670498544</c:v>
                </c:pt>
                <c:pt idx="2">
                  <c:v>0.49075630252100855</c:v>
                </c:pt>
                <c:pt idx="3">
                  <c:v>0.46921863614932913</c:v>
                </c:pt>
                <c:pt idx="4">
                  <c:v>0.47341839839549743</c:v>
                </c:pt>
                <c:pt idx="5">
                  <c:v>0.45982640547857939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68-4620-BD20-CFD2656971DD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'[8]Vigeo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S_Llama_vs_FinGPT!$S$46:$S$51</c:f>
              <c:numCache>
                <c:formatCode>0%</c:formatCode>
                <c:ptCount val="6"/>
                <c:pt idx="0">
                  <c:v>4.5820237608412064E-2</c:v>
                </c:pt>
                <c:pt idx="1">
                  <c:v>5.9916001807995535E-2</c:v>
                </c:pt>
                <c:pt idx="2">
                  <c:v>4.1872898121875043E-2</c:v>
                </c:pt>
                <c:pt idx="3">
                  <c:v>3.9078774968157967E-2</c:v>
                </c:pt>
                <c:pt idx="4">
                  <c:v>5.6905359696776292E-2</c:v>
                </c:pt>
                <c:pt idx="5">
                  <c:v>4.6323565916280236E-2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68-4620-BD20-CFD265697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Comparison of Discrepancies without using Vigeo Eiris in Government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'[9]NoContext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'[9]NoContext Araña'!$O$6:$O$11</c:f>
              <c:numCache>
                <c:formatCode>General</c:formatCode>
                <c:ptCount val="6"/>
                <c:pt idx="0">
                  <c:v>20</c:v>
                </c:pt>
                <c:pt idx="1">
                  <c:v>33</c:v>
                </c:pt>
                <c:pt idx="2">
                  <c:v>4</c:v>
                </c:pt>
                <c:pt idx="3">
                  <c:v>143</c:v>
                </c:pt>
                <c:pt idx="4">
                  <c:v>164</c:v>
                </c:pt>
                <c:pt idx="5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DA-4351-B015-60E468C3155C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'[10]NoContext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'[10]NoContext Araña'!$O$6:$O$11</c:f>
              <c:numCache>
                <c:formatCode>General</c:formatCode>
                <c:ptCount val="6"/>
                <c:pt idx="0">
                  <c:v>17</c:v>
                </c:pt>
                <c:pt idx="1">
                  <c:v>14</c:v>
                </c:pt>
                <c:pt idx="2">
                  <c:v>22</c:v>
                </c:pt>
                <c:pt idx="3">
                  <c:v>235</c:v>
                </c:pt>
                <c:pt idx="4">
                  <c:v>227</c:v>
                </c:pt>
                <c:pt idx="5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DA-4351-B015-60E468C31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Comparison of Deviation without using Vigeo Eiris in Government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G_Llama_vs_FinGPT!$A$44:$A$49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G_Llama_vs_FinGPT!$C$44:$C$49</c:f>
              <c:numCache>
                <c:formatCode>0%</c:formatCode>
                <c:ptCount val="6"/>
                <c:pt idx="0">
                  <c:v>0.30868786386027769</c:v>
                </c:pt>
                <c:pt idx="1">
                  <c:v>0.23163122444909454</c:v>
                </c:pt>
                <c:pt idx="2">
                  <c:v>0.34147509578544061</c:v>
                </c:pt>
                <c:pt idx="3">
                  <c:v>0.33317287701179771</c:v>
                </c:pt>
                <c:pt idx="4">
                  <c:v>0.34629995740172437</c:v>
                </c:pt>
                <c:pt idx="5">
                  <c:v>0.34116823875929436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60-4535-9042-546B83D051A3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G_Llama_vs_FinGPT!$A$44:$A$49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G_Llama_vs_FinGPT!$F$44:$F$49</c:f>
              <c:numCache>
                <c:formatCode>0%</c:formatCode>
                <c:ptCount val="6"/>
                <c:pt idx="0">
                  <c:v>0.12523204296817192</c:v>
                </c:pt>
                <c:pt idx="1">
                  <c:v>0.1807232047622076</c:v>
                </c:pt>
                <c:pt idx="2">
                  <c:v>0.15304276006997725</c:v>
                </c:pt>
                <c:pt idx="3">
                  <c:v>0.16649252324070893</c:v>
                </c:pt>
                <c:pt idx="4">
                  <c:v>0.17228580613034178</c:v>
                </c:pt>
                <c:pt idx="5">
                  <c:v>0.17072926280618153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60-4535-9042-546B83D05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Comparison of Discrepancies using Vigeo Eiris in Government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'[11]Vigeo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'[11]Vigeo Araña'!$O$6:$O$11</c:f>
              <c:numCache>
                <c:formatCode>General</c:formatCode>
                <c:ptCount val="6"/>
                <c:pt idx="0">
                  <c:v>52</c:v>
                </c:pt>
                <c:pt idx="1">
                  <c:v>70</c:v>
                </c:pt>
                <c:pt idx="2">
                  <c:v>9</c:v>
                </c:pt>
                <c:pt idx="3">
                  <c:v>57</c:v>
                </c:pt>
                <c:pt idx="4">
                  <c:v>14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3B-484B-BF1D-7BAD3A0B283A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'[12]Vigeo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'[12]Vigeo Araña'!$O$6:$O$11</c:f>
              <c:numCache>
                <c:formatCode>General</c:formatCode>
                <c:ptCount val="6"/>
                <c:pt idx="0">
                  <c:v>67</c:v>
                </c:pt>
                <c:pt idx="1">
                  <c:v>58</c:v>
                </c:pt>
                <c:pt idx="2">
                  <c:v>56</c:v>
                </c:pt>
                <c:pt idx="3">
                  <c:v>57</c:v>
                </c:pt>
                <c:pt idx="4">
                  <c:v>75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3B-484B-BF1D-7BAD3A0B2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Comparison of Deviation using Vigeo Eiris in Government audits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'[11]Vigeo Araña'!$N$26:$N$31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G_Llama_vs_FinGPT!$O$44:$O$49</c:f>
              <c:numCache>
                <c:formatCode>0%</c:formatCode>
                <c:ptCount val="6"/>
                <c:pt idx="0">
                  <c:v>0.1340420752720255</c:v>
                </c:pt>
                <c:pt idx="1">
                  <c:v>0.1261313857918312</c:v>
                </c:pt>
                <c:pt idx="2">
                  <c:v>0.11871808717824729</c:v>
                </c:pt>
                <c:pt idx="3">
                  <c:v>0.17449926215709297</c:v>
                </c:pt>
                <c:pt idx="4">
                  <c:v>0.1635805239529258</c:v>
                </c:pt>
                <c:pt idx="5">
                  <c:v>0.17812707562449553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F0-4A3D-8CFD-C221086DFDF0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'[12]Vigeo Araña'!$N$26:$N$31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G_Llama_vs_FinGPT!$R$44:$R$49</c:f>
              <c:numCache>
                <c:formatCode>0%</c:formatCode>
                <c:ptCount val="6"/>
                <c:pt idx="0">
                  <c:v>7.0490986051050392E-2</c:v>
                </c:pt>
                <c:pt idx="1">
                  <c:v>6.4764148269829638E-2</c:v>
                </c:pt>
                <c:pt idx="2">
                  <c:v>7.4952159461487172E-2</c:v>
                </c:pt>
                <c:pt idx="3">
                  <c:v>6.223630531354251E-2</c:v>
                </c:pt>
                <c:pt idx="4">
                  <c:v>6.3371574985402246E-2</c:v>
                </c:pt>
                <c:pt idx="5">
                  <c:v>5.0879073264396439E-2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F0-4A3D-8CFD-C221086DF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Llama - </a:t>
            </a:r>
            <a:r>
              <a:rPr lang="es-ES"/>
              <a:t>Number of discrepancies by Bias using vs. not</a:t>
            </a:r>
            <a:r>
              <a:rPr lang="es-ES" baseline="0"/>
              <a:t> using </a:t>
            </a:r>
            <a:r>
              <a:rPr lang="es-ES"/>
              <a:t>Vigeo Eiris in Environment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'[1]NoContext Araña'!$O$6:$O$11</c:f>
              <c:numCache>
                <c:formatCode>General</c:formatCode>
                <c:ptCount val="6"/>
                <c:pt idx="0">
                  <c:v>15</c:v>
                </c:pt>
                <c:pt idx="1">
                  <c:v>20</c:v>
                </c:pt>
                <c:pt idx="2">
                  <c:v>17</c:v>
                </c:pt>
                <c:pt idx="3">
                  <c:v>108</c:v>
                </c:pt>
                <c:pt idx="4">
                  <c:v>112</c:v>
                </c:pt>
                <c:pt idx="5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AC-4DBE-9D5A-24D4EE71B018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'[3]Vigeo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'[3]Vigeo Araña'!$O$6:$O$11</c:f>
              <c:numCache>
                <c:formatCode>General</c:formatCode>
                <c:ptCount val="6"/>
                <c:pt idx="0">
                  <c:v>18</c:v>
                </c:pt>
                <c:pt idx="1">
                  <c:v>31</c:v>
                </c:pt>
                <c:pt idx="2">
                  <c:v>9</c:v>
                </c:pt>
                <c:pt idx="3">
                  <c:v>20</c:v>
                </c:pt>
                <c:pt idx="4">
                  <c:v>12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AC-4DBE-9D5A-24D4EE71B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Llama - </a:t>
            </a:r>
            <a:r>
              <a:rPr lang="es-ES"/>
              <a:t>Deviation by Bias using vs. not</a:t>
            </a:r>
            <a:r>
              <a:rPr lang="es-ES" baseline="0"/>
              <a:t> </a:t>
            </a:r>
            <a:r>
              <a:rPr lang="es-ES" sz="1600" b="1" i="0" u="none" strike="noStrike" kern="1200" baseline="0">
                <a:solidFill>
                  <a:srgbClr val="44546A"/>
                </a:solidFill>
                <a:latin typeface="+mn-lt"/>
                <a:ea typeface="+mn-ea"/>
                <a:cs typeface="+mn-cs"/>
              </a:rPr>
              <a:t>using Vigeo Eiris in Environment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Llama_E_Vigeo_vs_NoContext!$P$28:$P$33</c:f>
              <c:numCache>
                <c:formatCode>0%</c:formatCode>
                <c:ptCount val="6"/>
                <c:pt idx="0">
                  <c:v>0.40259707134886474</c:v>
                </c:pt>
                <c:pt idx="1">
                  <c:v>0.40976958525345608</c:v>
                </c:pt>
                <c:pt idx="2">
                  <c:v>0.23124759893841573</c:v>
                </c:pt>
                <c:pt idx="3">
                  <c:v>0.18699844564586621</c:v>
                </c:pt>
                <c:pt idx="4">
                  <c:v>0.27646980143855754</c:v>
                </c:pt>
                <c:pt idx="5">
                  <c:v>0.23156439429776335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7D-42C6-9020-836A8A8CF74D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'[3]Vigeo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Llama_E_Vigeo_vs_NoContext!$S$28:$S$33</c:f>
              <c:numCache>
                <c:formatCode>0%</c:formatCode>
                <c:ptCount val="6"/>
                <c:pt idx="0">
                  <c:v>0.1384787969271008</c:v>
                </c:pt>
                <c:pt idx="1">
                  <c:v>0.1476779111211125</c:v>
                </c:pt>
                <c:pt idx="2">
                  <c:v>0.17536726470897099</c:v>
                </c:pt>
                <c:pt idx="3">
                  <c:v>0.13552850856826965</c:v>
                </c:pt>
                <c:pt idx="4">
                  <c:v>0.12488679478827656</c:v>
                </c:pt>
                <c:pt idx="5">
                  <c:v>0.20063289848366275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7D-42C6-9020-836A8A8CF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Llama - </a:t>
            </a:r>
            <a:r>
              <a:rPr lang="es-ES"/>
              <a:t>Number of discrepancies by Bias using vs. not using Vigeo Eiris in Social audit</a:t>
            </a:r>
          </a:p>
        </c:rich>
      </c:tx>
      <c:layout>
        <c:manualLayout>
          <c:xMode val="edge"/>
          <c:yMode val="edge"/>
          <c:x val="0.13557511410606995"/>
          <c:y val="2.1681493735414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'[7]Vigeo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'[7]Vigeo Araña'!$O$6:$O$11</c:f>
              <c:numCache>
                <c:formatCode>General</c:formatCode>
                <c:ptCount val="6"/>
                <c:pt idx="0">
                  <c:v>12</c:v>
                </c:pt>
                <c:pt idx="1">
                  <c:v>13</c:v>
                </c:pt>
                <c:pt idx="2">
                  <c:v>17</c:v>
                </c:pt>
                <c:pt idx="3">
                  <c:v>55</c:v>
                </c:pt>
                <c:pt idx="4">
                  <c:v>50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E5-42B1-92C0-0F4B4C669C8E}"/>
            </c:ext>
          </c:extLst>
        </c:ser>
        <c:ser>
          <c:idx val="0"/>
          <c:order val="1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'[5]NoContext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'[5]NoContext Araña'!$O$6:$O$11</c:f>
              <c:numCache>
                <c:formatCode>General</c:formatCode>
                <c:ptCount val="6"/>
                <c:pt idx="0">
                  <c:v>25</c:v>
                </c:pt>
                <c:pt idx="1">
                  <c:v>16</c:v>
                </c:pt>
                <c:pt idx="2">
                  <c:v>25</c:v>
                </c:pt>
                <c:pt idx="3">
                  <c:v>51</c:v>
                </c:pt>
                <c:pt idx="4">
                  <c:v>45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E5-42B1-92C0-0F4B4C669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Llama - Deviation by Bias using vs. not using Vigeo Eiris in Social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'[7]Vigeo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Llama_S_Vigeo_vs_NoContext!$R$27:$R$32</c:f>
              <c:numCache>
                <c:formatCode>0%</c:formatCode>
                <c:ptCount val="6"/>
                <c:pt idx="0">
                  <c:v>0.70356234096692116</c:v>
                </c:pt>
                <c:pt idx="1">
                  <c:v>0.35300452670498544</c:v>
                </c:pt>
                <c:pt idx="2">
                  <c:v>0.49075630252100855</c:v>
                </c:pt>
                <c:pt idx="3">
                  <c:v>0.46921863614932913</c:v>
                </c:pt>
                <c:pt idx="4">
                  <c:v>0.47341839839549743</c:v>
                </c:pt>
                <c:pt idx="5">
                  <c:v>0.45982640547857939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80-4811-B3CA-A823CE9E2A12}"/>
            </c:ext>
          </c:extLst>
        </c:ser>
        <c:ser>
          <c:idx val="0"/>
          <c:order val="1"/>
          <c:tx>
            <c:v>Not 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'[5]NoContext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Llama_S_Vigeo_vs_NoContext!$U$27:$U$32</c:f>
              <c:numCache>
                <c:formatCode>0%</c:formatCode>
                <c:ptCount val="6"/>
                <c:pt idx="0">
                  <c:v>0.13825425273701131</c:v>
                </c:pt>
                <c:pt idx="1">
                  <c:v>0.11285622988767531</c:v>
                </c:pt>
                <c:pt idx="2">
                  <c:v>4.937728937728935E-2</c:v>
                </c:pt>
                <c:pt idx="3">
                  <c:v>0.10302259152345937</c:v>
                </c:pt>
                <c:pt idx="4">
                  <c:v>0.13555532590015348</c:v>
                </c:pt>
                <c:pt idx="5">
                  <c:v>0.13228785321261816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80-4811-B3CA-A823CE9E2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Llama - Number of discrepancies by Bias using vs. not using Vigeo Eiris in Government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'[9]NoContext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'[9]NoContext Araña'!$O$6:$O$11</c:f>
              <c:numCache>
                <c:formatCode>General</c:formatCode>
                <c:ptCount val="6"/>
                <c:pt idx="0">
                  <c:v>20</c:v>
                </c:pt>
                <c:pt idx="1">
                  <c:v>33</c:v>
                </c:pt>
                <c:pt idx="2">
                  <c:v>4</c:v>
                </c:pt>
                <c:pt idx="3">
                  <c:v>143</c:v>
                </c:pt>
                <c:pt idx="4">
                  <c:v>164</c:v>
                </c:pt>
                <c:pt idx="5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1B-4BD7-BA7F-BC4E2FB2D5AE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'[11]Vigeo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'[11]Vigeo Araña'!$O$6:$O$11</c:f>
              <c:numCache>
                <c:formatCode>General</c:formatCode>
                <c:ptCount val="6"/>
                <c:pt idx="0">
                  <c:v>52</c:v>
                </c:pt>
                <c:pt idx="1">
                  <c:v>70</c:v>
                </c:pt>
                <c:pt idx="2">
                  <c:v>9</c:v>
                </c:pt>
                <c:pt idx="3">
                  <c:v>57</c:v>
                </c:pt>
                <c:pt idx="4">
                  <c:v>14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1B-4BD7-BA7F-BC4E2FB2D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Llama - Deviation by Bias using vs. not using Vigeo Eiris in Government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'[9]NoContext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Llama_G_Vigeo_vs_NoContext!$O$28:$O$33</c:f>
              <c:numCache>
                <c:formatCode>0%</c:formatCode>
                <c:ptCount val="6"/>
                <c:pt idx="0">
                  <c:v>0.30868786386027769</c:v>
                </c:pt>
                <c:pt idx="1">
                  <c:v>0.23163122444909454</c:v>
                </c:pt>
                <c:pt idx="2">
                  <c:v>0.34147509578544061</c:v>
                </c:pt>
                <c:pt idx="3">
                  <c:v>0.33317287701179771</c:v>
                </c:pt>
                <c:pt idx="4">
                  <c:v>0.34629995740172437</c:v>
                </c:pt>
                <c:pt idx="5">
                  <c:v>0.34116823875929436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3C-489A-8A70-48A312AC67E5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'[11]Vigeo Araña'!$N$26:$N$31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Llama_G_Vigeo_vs_NoContext!$R$28:$R$33</c:f>
              <c:numCache>
                <c:formatCode>0%</c:formatCode>
                <c:ptCount val="6"/>
                <c:pt idx="0">
                  <c:v>0.1340420752720255</c:v>
                </c:pt>
                <c:pt idx="1">
                  <c:v>0.1261313857918312</c:v>
                </c:pt>
                <c:pt idx="2">
                  <c:v>0.11871808717824729</c:v>
                </c:pt>
                <c:pt idx="3">
                  <c:v>0.17449926215709297</c:v>
                </c:pt>
                <c:pt idx="4">
                  <c:v>0.1635805239529258</c:v>
                </c:pt>
                <c:pt idx="5">
                  <c:v>0.17812707562449553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3C-489A-8A70-48A312AC6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FinGPT - Number of discrepancies by Bias using vs. not using Vigeo Eiris in Environment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'[2]NoContext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'[2]NoContext Araña'!$O$6:$O$11</c:f>
              <c:numCache>
                <c:formatCode>General</c:formatCode>
                <c:ptCount val="6"/>
                <c:pt idx="0">
                  <c:v>29</c:v>
                </c:pt>
                <c:pt idx="1">
                  <c:v>16</c:v>
                </c:pt>
                <c:pt idx="2">
                  <c:v>35</c:v>
                </c:pt>
                <c:pt idx="3">
                  <c:v>183</c:v>
                </c:pt>
                <c:pt idx="4">
                  <c:v>185</c:v>
                </c:pt>
                <c:pt idx="5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38-43DE-87C1-A0EE9C3775B3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'[4]Vigeo Araña'!$O$6:$O$11</c:f>
              <c:numCache>
                <c:formatCode>General</c:formatCode>
                <c:ptCount val="6"/>
                <c:pt idx="0">
                  <c:v>14</c:v>
                </c:pt>
                <c:pt idx="1">
                  <c:v>13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38-43DE-87C1-A0EE9C377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FinGPT - Deviation by Bias using vs. not using Vigeo Eiris in Environment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'[2]NoContext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FinGPT_E_Vigeo_vs_NoContext!$O$28:$O$33</c:f>
              <c:numCache>
                <c:formatCode>0%</c:formatCode>
                <c:ptCount val="6"/>
                <c:pt idx="0">
                  <c:v>9.1754903064947019E-2</c:v>
                </c:pt>
                <c:pt idx="1">
                  <c:v>0.13936988391992566</c:v>
                </c:pt>
                <c:pt idx="2">
                  <c:v>0.17982236422017672</c:v>
                </c:pt>
                <c:pt idx="3">
                  <c:v>0.17028354644939522</c:v>
                </c:pt>
                <c:pt idx="4">
                  <c:v>0.16823924726947109</c:v>
                </c:pt>
                <c:pt idx="5">
                  <c:v>0.18755184513138759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BD-4165-B02B-516BD81F899C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FinGPT_E_Vigeo_vs_NoContext!$R$28:$R$33</c:f>
              <c:numCache>
                <c:formatCode>0%</c:formatCode>
                <c:ptCount val="6"/>
                <c:pt idx="0">
                  <c:v>7.5983590100387341E-2</c:v>
                </c:pt>
                <c:pt idx="1">
                  <c:v>9.8221197465578794E-2</c:v>
                </c:pt>
                <c:pt idx="2">
                  <c:v>8.099637050161787E-2</c:v>
                </c:pt>
                <c:pt idx="3">
                  <c:v>0.1131897252055061</c:v>
                </c:pt>
                <c:pt idx="4">
                  <c:v>0.10103029689334493</c:v>
                </c:pt>
                <c:pt idx="5">
                  <c:v>0.11640269598516091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BD-4165-B02B-516BD81F8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FinGPT - Number of discrepancies by Bias using vs. not using Vigeo Eiris in Social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'[6]NoContext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'[6]NoContext Araña'!$O$6:$O$11</c:f>
              <c:numCache>
                <c:formatCode>General</c:formatCode>
                <c:ptCount val="6"/>
                <c:pt idx="0">
                  <c:v>27</c:v>
                </c:pt>
                <c:pt idx="1">
                  <c:v>8</c:v>
                </c:pt>
                <c:pt idx="2">
                  <c:v>37</c:v>
                </c:pt>
                <c:pt idx="3">
                  <c:v>259</c:v>
                </c:pt>
                <c:pt idx="4">
                  <c:v>232</c:v>
                </c:pt>
                <c:pt idx="5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24-465C-AC6B-15D6704E063C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'[8]Vigeo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'[8]Vigeo Araña'!$O$6:$O$11</c:f>
              <c:numCache>
                <c:formatCode>General</c:formatCode>
                <c:ptCount val="6"/>
                <c:pt idx="0">
                  <c:v>42</c:v>
                </c:pt>
                <c:pt idx="1">
                  <c:v>37</c:v>
                </c:pt>
                <c:pt idx="2">
                  <c:v>20</c:v>
                </c:pt>
                <c:pt idx="3">
                  <c:v>46</c:v>
                </c:pt>
                <c:pt idx="4">
                  <c:v>39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24-465C-AC6B-15D6704E0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FinGPT - Discrepancies by Bias using vs. not using Vigeo Eiris in Social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'[6]NoContext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FinGPT_S_Vigeo_vs_NoContext!$O$28:$O$33</c:f>
              <c:numCache>
                <c:formatCode>0%</c:formatCode>
                <c:ptCount val="6"/>
                <c:pt idx="0">
                  <c:v>0.12224343169225058</c:v>
                </c:pt>
                <c:pt idx="1">
                  <c:v>0.13188976377952755</c:v>
                </c:pt>
                <c:pt idx="2">
                  <c:v>0.11007055611038931</c:v>
                </c:pt>
                <c:pt idx="3">
                  <c:v>0.15123290926570118</c:v>
                </c:pt>
                <c:pt idx="4">
                  <c:v>0.14798006491434024</c:v>
                </c:pt>
                <c:pt idx="5">
                  <c:v>0.13937239464758713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C0-4CB7-9729-EAB5D05AB2D2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'[8]Vigeo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FinGPT_S_Vigeo_vs_NoContext!$R$28:$R$33</c:f>
              <c:numCache>
                <c:formatCode>0%</c:formatCode>
                <c:ptCount val="6"/>
                <c:pt idx="0">
                  <c:v>4.5820237608412064E-2</c:v>
                </c:pt>
                <c:pt idx="1">
                  <c:v>5.9916001807995535E-2</c:v>
                </c:pt>
                <c:pt idx="2">
                  <c:v>4.1872898121875043E-2</c:v>
                </c:pt>
                <c:pt idx="3">
                  <c:v>3.9078774968157967E-2</c:v>
                </c:pt>
                <c:pt idx="4">
                  <c:v>5.6905359696776292E-2</c:v>
                </c:pt>
                <c:pt idx="5">
                  <c:v>4.6323565916280236E-2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C0-4CB7-9729-EAB5D05AB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FinGPT - Number of discrepancies by Bias using vs. not using Vigeo Eiris in Government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'[10]NoContext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'[10]NoContext Araña'!$O$6:$O$11</c:f>
              <c:numCache>
                <c:formatCode>General</c:formatCode>
                <c:ptCount val="6"/>
                <c:pt idx="0">
                  <c:v>17</c:v>
                </c:pt>
                <c:pt idx="1">
                  <c:v>14</c:v>
                </c:pt>
                <c:pt idx="2">
                  <c:v>22</c:v>
                </c:pt>
                <c:pt idx="3">
                  <c:v>235</c:v>
                </c:pt>
                <c:pt idx="4">
                  <c:v>227</c:v>
                </c:pt>
                <c:pt idx="5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BC-4781-8B87-E1289B3CA2CA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'[12]Vigeo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'[12]Vigeo Araña'!$O$6:$O$11</c:f>
              <c:numCache>
                <c:formatCode>General</c:formatCode>
                <c:ptCount val="6"/>
                <c:pt idx="0">
                  <c:v>67</c:v>
                </c:pt>
                <c:pt idx="1">
                  <c:v>58</c:v>
                </c:pt>
                <c:pt idx="2">
                  <c:v>56</c:v>
                </c:pt>
                <c:pt idx="3">
                  <c:v>57</c:v>
                </c:pt>
                <c:pt idx="4">
                  <c:v>75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BC-4781-8B87-E1289B3CA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44546A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FinGPT - Deviation by Bias using vs. not using Vigeo Eiris in Government audit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44546A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'[10]NoContext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FinGPT_G_Vigeo_vs_NoContext!$P$28:$P$33</c:f>
              <c:numCache>
                <c:formatCode>0%</c:formatCode>
                <c:ptCount val="6"/>
                <c:pt idx="0">
                  <c:v>0.12523204296817192</c:v>
                </c:pt>
                <c:pt idx="1">
                  <c:v>0.1807232047622076</c:v>
                </c:pt>
                <c:pt idx="2">
                  <c:v>0.15304276006997725</c:v>
                </c:pt>
                <c:pt idx="3">
                  <c:v>0.16649252324070893</c:v>
                </c:pt>
                <c:pt idx="4">
                  <c:v>0.17228580613034178</c:v>
                </c:pt>
                <c:pt idx="5">
                  <c:v>0.17072926280618153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19-4241-9AD3-B6B9389E1AD5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'[12]Vigeo Araña'!$N$26:$N$31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FinGPT_G_Vigeo_vs_NoContext!$S$28:$S$33</c:f>
              <c:numCache>
                <c:formatCode>0%</c:formatCode>
                <c:ptCount val="6"/>
                <c:pt idx="0">
                  <c:v>7.0490986051050392E-2</c:v>
                </c:pt>
                <c:pt idx="1">
                  <c:v>6.4764148269829638E-2</c:v>
                </c:pt>
                <c:pt idx="2">
                  <c:v>7.4952159461487172E-2</c:v>
                </c:pt>
                <c:pt idx="3">
                  <c:v>6.223630531354251E-2</c:v>
                </c:pt>
                <c:pt idx="4">
                  <c:v>6.3371574985402246E-2</c:v>
                </c:pt>
                <c:pt idx="5">
                  <c:v>5.0879073264396439E-2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19-4241-9AD3-B6B9389E1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3</xdr:row>
      <xdr:rowOff>114300</xdr:rowOff>
    </xdr:from>
    <xdr:to>
      <xdr:col>18</xdr:col>
      <xdr:colOff>245579</xdr:colOff>
      <xdr:row>22</xdr:row>
      <xdr:rowOff>9318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C3683B20-4AC7-4611-875C-DC9F13D43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590550</xdr:colOff>
      <xdr:row>23</xdr:row>
      <xdr:rowOff>47625</xdr:rowOff>
    </xdr:from>
    <xdr:to>
      <xdr:col>18</xdr:col>
      <xdr:colOff>331304</xdr:colOff>
      <xdr:row>41</xdr:row>
      <xdr:rowOff>133143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1080053F-03C9-4892-B80F-D29EEAEDD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</xdr:row>
      <xdr:rowOff>123825</xdr:rowOff>
    </xdr:from>
    <xdr:to>
      <xdr:col>8</xdr:col>
      <xdr:colOff>502754</xdr:colOff>
      <xdr:row>22</xdr:row>
      <xdr:rowOff>18843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EC8EEFC1-1DCD-409A-8383-54768F769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85725</xdr:colOff>
      <xdr:row>23</xdr:row>
      <xdr:rowOff>76200</xdr:rowOff>
    </xdr:from>
    <xdr:to>
      <xdr:col>8</xdr:col>
      <xdr:colOff>436079</xdr:colOff>
      <xdr:row>41</xdr:row>
      <xdr:rowOff>161718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A209E726-D656-4892-98BE-6A4B779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2</xdr:row>
      <xdr:rowOff>161925</xdr:rowOff>
    </xdr:from>
    <xdr:to>
      <xdr:col>9</xdr:col>
      <xdr:colOff>140804</xdr:colOff>
      <xdr:row>21</xdr:row>
      <xdr:rowOff>56943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DDCCC67D-05AA-4519-B7A3-E4B96090D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504825</xdr:colOff>
      <xdr:row>24</xdr:row>
      <xdr:rowOff>28575</xdr:rowOff>
    </xdr:from>
    <xdr:to>
      <xdr:col>9</xdr:col>
      <xdr:colOff>245579</xdr:colOff>
      <xdr:row>42</xdr:row>
      <xdr:rowOff>114093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F8724B57-15AD-4687-98EB-3FAC37913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438150</xdr:colOff>
      <xdr:row>3</xdr:row>
      <xdr:rowOff>38100</xdr:rowOff>
    </xdr:from>
    <xdr:to>
      <xdr:col>19</xdr:col>
      <xdr:colOff>178904</xdr:colOff>
      <xdr:row>21</xdr:row>
      <xdr:rowOff>123618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62E10D8A-CB46-4F39-8856-C1549FD94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561975</xdr:colOff>
      <xdr:row>24</xdr:row>
      <xdr:rowOff>28575</xdr:rowOff>
    </xdr:from>
    <xdr:to>
      <xdr:col>19</xdr:col>
      <xdr:colOff>302729</xdr:colOff>
      <xdr:row>42</xdr:row>
      <xdr:rowOff>114093</xdr:rowOff>
    </xdr:to>
    <xdr:graphicFrame macro="">
      <xdr:nvGraphicFramePr>
        <xdr:cNvPr id="11" name="Chart 3">
          <a:extLst>
            <a:ext uri="{FF2B5EF4-FFF2-40B4-BE49-F238E27FC236}">
              <a16:creationId xmlns:a16="http://schemas.microsoft.com/office/drawing/2014/main" id="{C61DF272-525B-4411-AFA2-F51CC1D01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123825</xdr:rowOff>
    </xdr:from>
    <xdr:to>
      <xdr:col>9</xdr:col>
      <xdr:colOff>36029</xdr:colOff>
      <xdr:row>21</xdr:row>
      <xdr:rowOff>18843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F8E6DEA-BBAB-4012-83BD-39B2DC83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352425</xdr:colOff>
      <xdr:row>22</xdr:row>
      <xdr:rowOff>19050</xdr:rowOff>
    </xdr:from>
    <xdr:to>
      <xdr:col>9</xdr:col>
      <xdr:colOff>93179</xdr:colOff>
      <xdr:row>40</xdr:row>
      <xdr:rowOff>104568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A1520357-BAAD-417D-A041-B03C802F6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371475</xdr:colOff>
      <xdr:row>3</xdr:row>
      <xdr:rowOff>28575</xdr:rowOff>
    </xdr:from>
    <xdr:to>
      <xdr:col>18</xdr:col>
      <xdr:colOff>112229</xdr:colOff>
      <xdr:row>21</xdr:row>
      <xdr:rowOff>114093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F6624F-EABA-404E-8417-7AF4A893B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447675</xdr:colOff>
      <xdr:row>22</xdr:row>
      <xdr:rowOff>123825</xdr:rowOff>
    </xdr:from>
    <xdr:to>
      <xdr:col>18</xdr:col>
      <xdr:colOff>188429</xdr:colOff>
      <xdr:row>41</xdr:row>
      <xdr:rowOff>18843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3973D548-5DD4-4768-99A1-651684E98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5</xdr:row>
      <xdr:rowOff>66675</xdr:rowOff>
    </xdr:from>
    <xdr:to>
      <xdr:col>11</xdr:col>
      <xdr:colOff>203638</xdr:colOff>
      <xdr:row>23</xdr:row>
      <xdr:rowOff>152193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F286C2-DD91-4703-957A-F86C1C888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57149</xdr:colOff>
      <xdr:row>5</xdr:row>
      <xdr:rowOff>142875</xdr:rowOff>
    </xdr:from>
    <xdr:to>
      <xdr:col>20</xdr:col>
      <xdr:colOff>499240</xdr:colOff>
      <xdr:row>24</xdr:row>
      <xdr:rowOff>37893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3FC67D95-A7F6-41F4-B57A-0CC1877FC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5</xdr:row>
      <xdr:rowOff>28575</xdr:rowOff>
    </xdr:from>
    <xdr:to>
      <xdr:col>11</xdr:col>
      <xdr:colOff>588479</xdr:colOff>
      <xdr:row>23</xdr:row>
      <xdr:rowOff>114093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F7F7DAB-D271-482F-AF6E-557FC5A00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4</xdr:row>
      <xdr:rowOff>180975</xdr:rowOff>
    </xdr:from>
    <xdr:to>
      <xdr:col>21</xdr:col>
      <xdr:colOff>350354</xdr:colOff>
      <xdr:row>23</xdr:row>
      <xdr:rowOff>75993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8D87FB36-4038-45D3-9564-F50CE335F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6</xdr:row>
      <xdr:rowOff>9525</xdr:rowOff>
    </xdr:from>
    <xdr:to>
      <xdr:col>9</xdr:col>
      <xdr:colOff>569429</xdr:colOff>
      <xdr:row>24</xdr:row>
      <xdr:rowOff>95043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AB03F0B3-A751-49E6-A4A0-61F61A4E3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95250</xdr:colOff>
      <xdr:row>6</xdr:row>
      <xdr:rowOff>9525</xdr:rowOff>
    </xdr:from>
    <xdr:to>
      <xdr:col>19</xdr:col>
      <xdr:colOff>445604</xdr:colOff>
      <xdr:row>24</xdr:row>
      <xdr:rowOff>95043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426532C6-9F9D-4FB2-B849-683319F53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6</xdr:row>
      <xdr:rowOff>95250</xdr:rowOff>
    </xdr:from>
    <xdr:to>
      <xdr:col>10</xdr:col>
      <xdr:colOff>302729</xdr:colOff>
      <xdr:row>24</xdr:row>
      <xdr:rowOff>180768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9A460A-A990-4F7D-B917-7D5FC820E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152400</xdr:colOff>
      <xdr:row>6</xdr:row>
      <xdr:rowOff>133350</xdr:rowOff>
    </xdr:from>
    <xdr:to>
      <xdr:col>19</xdr:col>
      <xdr:colOff>502754</xdr:colOff>
      <xdr:row>25</xdr:row>
      <xdr:rowOff>28368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8824D65-3E6A-45CB-B040-2E4F805B5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5</xdr:row>
      <xdr:rowOff>133350</xdr:rowOff>
    </xdr:from>
    <xdr:to>
      <xdr:col>10</xdr:col>
      <xdr:colOff>83654</xdr:colOff>
      <xdr:row>24</xdr:row>
      <xdr:rowOff>28368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2C6E2754-94F2-478D-9967-B01A2C433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5</xdr:row>
      <xdr:rowOff>161925</xdr:rowOff>
    </xdr:from>
    <xdr:to>
      <xdr:col>19</xdr:col>
      <xdr:colOff>598004</xdr:colOff>
      <xdr:row>24</xdr:row>
      <xdr:rowOff>56943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D15E353-BEB9-422F-A9DE-1360B66E5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6</xdr:row>
      <xdr:rowOff>95250</xdr:rowOff>
    </xdr:from>
    <xdr:to>
      <xdr:col>10</xdr:col>
      <xdr:colOff>264629</xdr:colOff>
      <xdr:row>24</xdr:row>
      <xdr:rowOff>180768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DEDA757C-ED08-4CA6-B0FD-336F19797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6</xdr:row>
      <xdr:rowOff>85725</xdr:rowOff>
    </xdr:from>
    <xdr:to>
      <xdr:col>20</xdr:col>
      <xdr:colOff>64604</xdr:colOff>
      <xdr:row>24</xdr:row>
      <xdr:rowOff>171243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10543FD-7E09-46BF-BDD9-CF1565784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NoContext_E_Llama.xlsx" TargetMode="External"/><Relationship Id="rId1" Type="http://schemas.openxmlformats.org/officeDocument/2006/relationships/externalLinkPath" Target="NoContext_E_Llam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NoContext_E_FinGPT.xlsx" TargetMode="External"/><Relationship Id="rId1" Type="http://schemas.openxmlformats.org/officeDocument/2006/relationships/externalLinkPath" Target="NoContext_E_FinGP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Vigeo_E_Llama.xlsx" TargetMode="External"/><Relationship Id="rId1" Type="http://schemas.openxmlformats.org/officeDocument/2006/relationships/externalLinkPath" Target="Vigeo_E_Llam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Vigeo_E_FinGPT.xlsx" TargetMode="External"/><Relationship Id="rId1" Type="http://schemas.openxmlformats.org/officeDocument/2006/relationships/externalLinkPath" Target="Vigeo_E_FinGP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NoContext_S_Llama.xlsx" TargetMode="External"/><Relationship Id="rId1" Type="http://schemas.openxmlformats.org/officeDocument/2006/relationships/externalLinkPath" Target="NoContext_S_Llam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NoContext_S_FinGPT.xlsx" TargetMode="External"/><Relationship Id="rId1" Type="http://schemas.openxmlformats.org/officeDocument/2006/relationships/externalLinkPath" Target="NoContext_S_FinGP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Vigeo_S_Llama.xlsx" TargetMode="External"/><Relationship Id="rId1" Type="http://schemas.openxmlformats.org/officeDocument/2006/relationships/externalLinkPath" Target="Vigeo_S_Llama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Vigeo_S_FinGPT.xlsx" TargetMode="External"/><Relationship Id="rId1" Type="http://schemas.openxmlformats.org/officeDocument/2006/relationships/externalLinkPath" Target="Vigeo_S_FinGP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NoContext_G_Llama.xlsx" TargetMode="External"/><Relationship Id="rId1" Type="http://schemas.openxmlformats.org/officeDocument/2006/relationships/externalLinkPath" Target="NoContext_G_Llama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NoContext_G_FinGPT.xlsx" TargetMode="External"/><Relationship Id="rId1" Type="http://schemas.openxmlformats.org/officeDocument/2006/relationships/externalLinkPath" Target="NoContext_G_FinGPT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Vigeo_G_Llama.xlsx" TargetMode="External"/><Relationship Id="rId1" Type="http://schemas.openxmlformats.org/officeDocument/2006/relationships/externalLinkPath" Target="Vigeo_G_Llam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0.%20Gr&#225;ficos%20finales\Vigeo_G_FinGPT.xlsx" TargetMode="External"/><Relationship Id="rId1" Type="http://schemas.openxmlformats.org/officeDocument/2006/relationships/externalLinkPath" Target="Vigeo_G_FinG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15</v>
          </cell>
        </row>
        <row r="7">
          <cell r="N7" t="str">
            <v>Religion-gender</v>
          </cell>
          <cell r="O7">
            <v>20</v>
          </cell>
        </row>
        <row r="8">
          <cell r="N8" t="str">
            <v>Gender</v>
          </cell>
          <cell r="O8">
            <v>17</v>
          </cell>
        </row>
        <row r="9">
          <cell r="N9" t="str">
            <v>Gender-age</v>
          </cell>
          <cell r="O9">
            <v>108</v>
          </cell>
        </row>
        <row r="10">
          <cell r="N10" t="str">
            <v>Age</v>
          </cell>
          <cell r="O10">
            <v>112</v>
          </cell>
        </row>
        <row r="11">
          <cell r="N11" t="str">
            <v>Age-religion</v>
          </cell>
          <cell r="O11">
            <v>139</v>
          </cell>
        </row>
        <row r="28">
          <cell r="N28" t="str">
            <v>Religion</v>
          </cell>
          <cell r="O28">
            <v>0.80519414269772949</v>
          </cell>
        </row>
        <row r="29">
          <cell r="N29" t="str">
            <v>Religion-gender</v>
          </cell>
          <cell r="O29">
            <v>0.81953917050691216</v>
          </cell>
        </row>
        <row r="30">
          <cell r="N30" t="str">
            <v>Gender</v>
          </cell>
          <cell r="O30">
            <v>0.46249519787683147</v>
          </cell>
        </row>
        <row r="31">
          <cell r="N31" t="str">
            <v>Gender-age</v>
          </cell>
          <cell r="O31">
            <v>0.37399689129173241</v>
          </cell>
        </row>
        <row r="32">
          <cell r="N32" t="str">
            <v>Age</v>
          </cell>
          <cell r="O32">
            <v>0.55293960287711508</v>
          </cell>
        </row>
        <row r="33">
          <cell r="N33" t="str">
            <v>Age-religion</v>
          </cell>
          <cell r="O33">
            <v>0.4631287885955267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29</v>
          </cell>
        </row>
        <row r="7">
          <cell r="N7" t="str">
            <v>Religion-gender</v>
          </cell>
          <cell r="O7">
            <v>16</v>
          </cell>
        </row>
        <row r="8">
          <cell r="N8" t="str">
            <v>Gender</v>
          </cell>
          <cell r="O8">
            <v>35</v>
          </cell>
        </row>
        <row r="9">
          <cell r="N9" t="str">
            <v>Gender-age</v>
          </cell>
          <cell r="O9">
            <v>183</v>
          </cell>
        </row>
        <row r="10">
          <cell r="N10" t="str">
            <v>Age</v>
          </cell>
          <cell r="O10">
            <v>185</v>
          </cell>
        </row>
        <row r="11">
          <cell r="N11" t="str">
            <v>Age-religion</v>
          </cell>
          <cell r="O11">
            <v>183</v>
          </cell>
        </row>
        <row r="28">
          <cell r="N28" t="str">
            <v>Religion</v>
          </cell>
          <cell r="O28">
            <v>0.18350980612989404</v>
          </cell>
        </row>
        <row r="29">
          <cell r="N29" t="str">
            <v>Religion-gender</v>
          </cell>
          <cell r="O29">
            <v>0.27873976783985133</v>
          </cell>
        </row>
        <row r="30">
          <cell r="N30" t="str">
            <v>Gender</v>
          </cell>
          <cell r="O30">
            <v>0.35964472844035345</v>
          </cell>
        </row>
        <row r="31">
          <cell r="N31" t="str">
            <v>Gender-age</v>
          </cell>
          <cell r="O31">
            <v>0.34056709289879045</v>
          </cell>
        </row>
        <row r="32">
          <cell r="N32" t="str">
            <v>Age</v>
          </cell>
          <cell r="O32">
            <v>0.33647849453894219</v>
          </cell>
        </row>
        <row r="33">
          <cell r="N33" t="str">
            <v>Age-religion</v>
          </cell>
          <cell r="O33">
            <v>0.37510369026277518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18</v>
          </cell>
        </row>
        <row r="7">
          <cell r="N7" t="str">
            <v>Religion-gender</v>
          </cell>
          <cell r="O7">
            <v>31</v>
          </cell>
        </row>
        <row r="8">
          <cell r="N8" t="str">
            <v>Gender</v>
          </cell>
          <cell r="O8">
            <v>9</v>
          </cell>
        </row>
        <row r="9">
          <cell r="N9" t="str">
            <v>Gender-age</v>
          </cell>
          <cell r="O9">
            <v>20</v>
          </cell>
        </row>
        <row r="10">
          <cell r="N10" t="str">
            <v>Age</v>
          </cell>
          <cell r="O10">
            <v>12</v>
          </cell>
        </row>
        <row r="11">
          <cell r="N11" t="str">
            <v>Age-religion</v>
          </cell>
          <cell r="O11">
            <v>22</v>
          </cell>
        </row>
        <row r="27">
          <cell r="N27" t="str">
            <v>Religion</v>
          </cell>
          <cell r="O27">
            <v>0.2769575938542016</v>
          </cell>
        </row>
        <row r="28">
          <cell r="N28" t="str">
            <v>Religion-gender</v>
          </cell>
          <cell r="O28">
            <v>0.29535582224222501</v>
          </cell>
        </row>
        <row r="29">
          <cell r="N29" t="str">
            <v>Gender</v>
          </cell>
          <cell r="O29">
            <v>0.35073452941794198</v>
          </cell>
        </row>
        <row r="30">
          <cell r="N30" t="str">
            <v>Gender-age</v>
          </cell>
          <cell r="O30">
            <v>0.27105701713653929</v>
          </cell>
        </row>
        <row r="31">
          <cell r="N31" t="str">
            <v>Age</v>
          </cell>
          <cell r="O31">
            <v>0.24977358957655313</v>
          </cell>
        </row>
        <row r="32">
          <cell r="N32" t="str">
            <v>Age-religion</v>
          </cell>
          <cell r="O32">
            <v>0.40126579696732551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14</v>
          </cell>
        </row>
        <row r="7">
          <cell r="N7" t="str">
            <v>Religion-gender</v>
          </cell>
          <cell r="O7">
            <v>13</v>
          </cell>
        </row>
        <row r="8">
          <cell r="N8" t="str">
            <v>Gender</v>
          </cell>
          <cell r="O8">
            <v>10</v>
          </cell>
        </row>
        <row r="9">
          <cell r="N9" t="str">
            <v>Gender-age</v>
          </cell>
          <cell r="O9">
            <v>14</v>
          </cell>
        </row>
        <row r="10">
          <cell r="N10" t="str">
            <v>Age</v>
          </cell>
          <cell r="O10">
            <v>15</v>
          </cell>
        </row>
        <row r="11">
          <cell r="N11" t="str">
            <v>Age-religion</v>
          </cell>
          <cell r="O11">
            <v>12</v>
          </cell>
        </row>
        <row r="27">
          <cell r="N27" t="str">
            <v>Religion</v>
          </cell>
          <cell r="O27">
            <v>0.15196718020077468</v>
          </cell>
        </row>
        <row r="28">
          <cell r="N28" t="str">
            <v>Religion-gender</v>
          </cell>
          <cell r="O28">
            <v>0.19644239493115759</v>
          </cell>
        </row>
        <row r="29">
          <cell r="N29" t="str">
            <v>Gender</v>
          </cell>
          <cell r="O29">
            <v>0.16199274100323574</v>
          </cell>
        </row>
        <row r="30">
          <cell r="N30" t="str">
            <v>Gender-age</v>
          </cell>
          <cell r="O30">
            <v>0.22637945041101221</v>
          </cell>
        </row>
        <row r="31">
          <cell r="N31" t="str">
            <v>Age</v>
          </cell>
          <cell r="O31">
            <v>0.20206059378668986</v>
          </cell>
        </row>
        <row r="32">
          <cell r="N32" t="str">
            <v>Age-religion</v>
          </cell>
          <cell r="O32">
            <v>0.23280539197032182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25</v>
          </cell>
        </row>
        <row r="7">
          <cell r="N7" t="str">
            <v>Religion-gender</v>
          </cell>
          <cell r="O7">
            <v>16</v>
          </cell>
        </row>
        <row r="8">
          <cell r="N8" t="str">
            <v>Gender</v>
          </cell>
          <cell r="O8">
            <v>25</v>
          </cell>
        </row>
        <row r="9">
          <cell r="N9" t="str">
            <v>Gender-age</v>
          </cell>
          <cell r="O9">
            <v>51</v>
          </cell>
        </row>
        <row r="10">
          <cell r="N10" t="str">
            <v>Age</v>
          </cell>
          <cell r="O10">
            <v>45</v>
          </cell>
        </row>
        <row r="11">
          <cell r="N11" t="str">
            <v>Age-religion</v>
          </cell>
          <cell r="O11">
            <v>44</v>
          </cell>
        </row>
        <row r="27">
          <cell r="N27" t="str">
            <v>Religion</v>
          </cell>
          <cell r="O27">
            <v>0.27650850547402261</v>
          </cell>
        </row>
        <row r="28">
          <cell r="N28" t="str">
            <v>Religion-gender</v>
          </cell>
          <cell r="O28">
            <v>0.22571245977535062</v>
          </cell>
        </row>
        <row r="29">
          <cell r="N29" t="str">
            <v>Gender</v>
          </cell>
          <cell r="O29">
            <v>9.8754578754578701E-2</v>
          </cell>
        </row>
        <row r="30">
          <cell r="N30" t="str">
            <v>Gender-age</v>
          </cell>
          <cell r="O30">
            <v>0.20604518304691874</v>
          </cell>
        </row>
        <row r="31">
          <cell r="N31" t="str">
            <v>Age</v>
          </cell>
          <cell r="O31">
            <v>0.27111065180030697</v>
          </cell>
        </row>
        <row r="32">
          <cell r="N32" t="str">
            <v>Age-religion</v>
          </cell>
          <cell r="O32">
            <v>0.26457570642523631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27</v>
          </cell>
        </row>
        <row r="7">
          <cell r="N7" t="str">
            <v>Religion-gender</v>
          </cell>
          <cell r="O7">
            <v>8</v>
          </cell>
        </row>
        <row r="8">
          <cell r="N8" t="str">
            <v>Gender</v>
          </cell>
          <cell r="O8">
            <v>37</v>
          </cell>
        </row>
        <row r="9">
          <cell r="N9" t="str">
            <v>Gender-age</v>
          </cell>
          <cell r="O9">
            <v>259</v>
          </cell>
        </row>
        <row r="10">
          <cell r="N10" t="str">
            <v>Age</v>
          </cell>
          <cell r="O10">
            <v>232</v>
          </cell>
        </row>
        <row r="11">
          <cell r="N11" t="str">
            <v>Age-religion</v>
          </cell>
          <cell r="O11">
            <v>248</v>
          </cell>
        </row>
        <row r="28">
          <cell r="N28" t="str">
            <v>Religion</v>
          </cell>
          <cell r="O28">
            <v>0.24448686338450115</v>
          </cell>
        </row>
        <row r="29">
          <cell r="N29" t="str">
            <v>Religion-gender</v>
          </cell>
          <cell r="O29">
            <v>0.26377952755905509</v>
          </cell>
        </row>
        <row r="30">
          <cell r="N30" t="str">
            <v>Gender</v>
          </cell>
          <cell r="O30">
            <v>0.22014111222077862</v>
          </cell>
        </row>
        <row r="31">
          <cell r="N31" t="str">
            <v>Gender-age</v>
          </cell>
          <cell r="O31">
            <v>0.30246581853140236</v>
          </cell>
        </row>
        <row r="32">
          <cell r="N32" t="str">
            <v>Age</v>
          </cell>
          <cell r="O32">
            <v>0.29596012982868047</v>
          </cell>
        </row>
        <row r="33">
          <cell r="N33" t="str">
            <v>Age-religion</v>
          </cell>
          <cell r="O33">
            <v>0.27874478929517427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12</v>
          </cell>
        </row>
        <row r="7">
          <cell r="N7" t="str">
            <v>Religion-gender</v>
          </cell>
          <cell r="O7">
            <v>13</v>
          </cell>
        </row>
        <row r="8">
          <cell r="N8" t="str">
            <v>Gender</v>
          </cell>
          <cell r="O8">
            <v>17</v>
          </cell>
        </row>
        <row r="9">
          <cell r="N9" t="str">
            <v>Gender-age</v>
          </cell>
          <cell r="O9">
            <v>55</v>
          </cell>
        </row>
        <row r="10">
          <cell r="N10" t="str">
            <v>Age</v>
          </cell>
          <cell r="O10">
            <v>50</v>
          </cell>
        </row>
        <row r="11">
          <cell r="N11" t="str">
            <v>Age-religion</v>
          </cell>
          <cell r="O11">
            <v>23</v>
          </cell>
        </row>
        <row r="27">
          <cell r="N27" t="str">
            <v>Religion</v>
          </cell>
          <cell r="O27">
            <v>1.4071246819338423</v>
          </cell>
        </row>
        <row r="28">
          <cell r="N28" t="str">
            <v>Religion-gender</v>
          </cell>
          <cell r="O28">
            <v>0.70600905340997089</v>
          </cell>
        </row>
        <row r="29">
          <cell r="N29" t="str">
            <v>Gender</v>
          </cell>
          <cell r="O29">
            <v>0.98151260504201709</v>
          </cell>
        </row>
        <row r="30">
          <cell r="N30" t="str">
            <v>Gender-age</v>
          </cell>
          <cell r="O30">
            <v>0.93843727229865825</v>
          </cell>
        </row>
        <row r="31">
          <cell r="N31" t="str">
            <v>Age</v>
          </cell>
          <cell r="O31">
            <v>0.94683679679099486</v>
          </cell>
        </row>
        <row r="32">
          <cell r="N32" t="str">
            <v>Age-religion</v>
          </cell>
          <cell r="O32">
            <v>0.91965281095715878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42</v>
          </cell>
        </row>
        <row r="7">
          <cell r="N7" t="str">
            <v>Religion-gender</v>
          </cell>
          <cell r="O7">
            <v>37</v>
          </cell>
        </row>
        <row r="8">
          <cell r="N8" t="str">
            <v>Gender</v>
          </cell>
          <cell r="O8">
            <v>20</v>
          </cell>
        </row>
        <row r="9">
          <cell r="N9" t="str">
            <v>Gender-age</v>
          </cell>
          <cell r="O9">
            <v>46</v>
          </cell>
        </row>
        <row r="10">
          <cell r="N10" t="str">
            <v>Age</v>
          </cell>
          <cell r="O10">
            <v>39</v>
          </cell>
        </row>
        <row r="11">
          <cell r="N11" t="str">
            <v>Age-religion</v>
          </cell>
          <cell r="O11">
            <v>43</v>
          </cell>
        </row>
        <row r="27">
          <cell r="N27" t="str">
            <v>Religion</v>
          </cell>
          <cell r="O27">
            <v>9.1640475216824127E-2</v>
          </cell>
        </row>
        <row r="28">
          <cell r="N28" t="str">
            <v>Religion-gender</v>
          </cell>
          <cell r="O28">
            <v>0.11983200361599107</v>
          </cell>
        </row>
        <row r="29">
          <cell r="N29" t="str">
            <v>Gender</v>
          </cell>
          <cell r="O29">
            <v>8.3745796243750087E-2</v>
          </cell>
        </row>
        <row r="30">
          <cell r="N30" t="str">
            <v>Gender-age</v>
          </cell>
          <cell r="O30">
            <v>7.8157549936315934E-2</v>
          </cell>
        </row>
        <row r="31">
          <cell r="N31" t="str">
            <v>Age</v>
          </cell>
          <cell r="O31">
            <v>0.11381071939355258</v>
          </cell>
        </row>
        <row r="32">
          <cell r="N32" t="str">
            <v>Age-religion</v>
          </cell>
          <cell r="O32">
            <v>9.2647131832560473E-2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20</v>
          </cell>
        </row>
        <row r="7">
          <cell r="N7" t="str">
            <v>Religion-gender</v>
          </cell>
          <cell r="O7">
            <v>33</v>
          </cell>
        </row>
        <row r="8">
          <cell r="N8" t="str">
            <v>Gender</v>
          </cell>
          <cell r="O8">
            <v>4</v>
          </cell>
        </row>
        <row r="9">
          <cell r="N9" t="str">
            <v>Gender-age</v>
          </cell>
          <cell r="O9">
            <v>143</v>
          </cell>
        </row>
        <row r="10">
          <cell r="N10" t="str">
            <v>Age</v>
          </cell>
          <cell r="O10">
            <v>164</v>
          </cell>
        </row>
        <row r="11">
          <cell r="N11" t="str">
            <v>Age-religion</v>
          </cell>
          <cell r="O11">
            <v>165</v>
          </cell>
        </row>
        <row r="27">
          <cell r="N27" t="str">
            <v>Religion</v>
          </cell>
          <cell r="O27">
            <v>0.61737572772055538</v>
          </cell>
        </row>
        <row r="28">
          <cell r="N28" t="str">
            <v>Religion-gender</v>
          </cell>
          <cell r="O28">
            <v>0.46326244889818907</v>
          </cell>
        </row>
        <row r="29">
          <cell r="N29" t="str">
            <v>Gender</v>
          </cell>
          <cell r="O29">
            <v>0.68295019157088122</v>
          </cell>
        </row>
        <row r="30">
          <cell r="N30" t="str">
            <v>Gender-age</v>
          </cell>
          <cell r="O30">
            <v>0.66634575402359542</v>
          </cell>
        </row>
        <row r="31">
          <cell r="N31" t="str">
            <v>Age</v>
          </cell>
          <cell r="O31">
            <v>0.69259991480344874</v>
          </cell>
        </row>
        <row r="32">
          <cell r="N32" t="str">
            <v>Age-religion</v>
          </cell>
          <cell r="O32">
            <v>0.68233647751858872</v>
          </cell>
        </row>
      </sheetData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17</v>
          </cell>
        </row>
        <row r="7">
          <cell r="N7" t="str">
            <v>Religion-gender</v>
          </cell>
          <cell r="O7">
            <v>14</v>
          </cell>
        </row>
        <row r="8">
          <cell r="N8" t="str">
            <v>Gender</v>
          </cell>
          <cell r="O8">
            <v>22</v>
          </cell>
        </row>
        <row r="9">
          <cell r="N9" t="str">
            <v>Gender-age</v>
          </cell>
          <cell r="O9">
            <v>235</v>
          </cell>
        </row>
        <row r="10">
          <cell r="N10" t="str">
            <v>Age</v>
          </cell>
          <cell r="O10">
            <v>227</v>
          </cell>
        </row>
        <row r="11">
          <cell r="N11" t="str">
            <v>Age-religion</v>
          </cell>
          <cell r="O11">
            <v>270</v>
          </cell>
        </row>
        <row r="28">
          <cell r="N28" t="str">
            <v>Religion</v>
          </cell>
          <cell r="O28">
            <v>0.25046408593634384</v>
          </cell>
        </row>
        <row r="29">
          <cell r="N29" t="str">
            <v>Religion-gender</v>
          </cell>
          <cell r="O29">
            <v>0.3614464095244152</v>
          </cell>
        </row>
        <row r="30">
          <cell r="N30" t="str">
            <v>Gender</v>
          </cell>
          <cell r="O30">
            <v>0.30608552013995449</v>
          </cell>
        </row>
        <row r="31">
          <cell r="N31" t="str">
            <v>Gender-age</v>
          </cell>
          <cell r="O31">
            <v>0.33298504648141786</v>
          </cell>
        </row>
        <row r="32">
          <cell r="N32" t="str">
            <v>Age</v>
          </cell>
          <cell r="O32">
            <v>0.34457161226068356</v>
          </cell>
        </row>
        <row r="33">
          <cell r="N33" t="str">
            <v>Age-religion</v>
          </cell>
          <cell r="O33">
            <v>0.34145852561236306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52</v>
          </cell>
        </row>
        <row r="7">
          <cell r="N7" t="str">
            <v>Religion-gender</v>
          </cell>
          <cell r="O7">
            <v>70</v>
          </cell>
        </row>
        <row r="8">
          <cell r="N8" t="str">
            <v>Gender</v>
          </cell>
          <cell r="O8">
            <v>9</v>
          </cell>
        </row>
        <row r="9">
          <cell r="N9" t="str">
            <v>Gender-age</v>
          </cell>
          <cell r="O9">
            <v>57</v>
          </cell>
        </row>
        <row r="10">
          <cell r="N10" t="str">
            <v>Age</v>
          </cell>
          <cell r="O10">
            <v>14</v>
          </cell>
        </row>
        <row r="11">
          <cell r="N11" t="str">
            <v>Age-religion</v>
          </cell>
          <cell r="O11">
            <v>46</v>
          </cell>
        </row>
        <row r="26">
          <cell r="N26" t="str">
            <v>Religion</v>
          </cell>
          <cell r="O26">
            <v>0.26808415054405099</v>
          </cell>
        </row>
        <row r="27">
          <cell r="N27" t="str">
            <v>Religion-gender</v>
          </cell>
          <cell r="O27">
            <v>0.25226277158366239</v>
          </cell>
        </row>
        <row r="28">
          <cell r="N28" t="str">
            <v>Gender</v>
          </cell>
          <cell r="O28">
            <v>0.23743617435649458</v>
          </cell>
        </row>
        <row r="29">
          <cell r="N29" t="str">
            <v>Gender-age</v>
          </cell>
          <cell r="O29">
            <v>0.34899852431418593</v>
          </cell>
        </row>
        <row r="30">
          <cell r="N30" t="str">
            <v>Age</v>
          </cell>
          <cell r="O30">
            <v>0.3271610479058516</v>
          </cell>
        </row>
        <row r="31">
          <cell r="N31" t="str">
            <v>Age-religion</v>
          </cell>
          <cell r="O31">
            <v>0.35625415124899107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67</v>
          </cell>
        </row>
        <row r="7">
          <cell r="N7" t="str">
            <v>Religion-gender</v>
          </cell>
          <cell r="O7">
            <v>58</v>
          </cell>
        </row>
        <row r="8">
          <cell r="N8" t="str">
            <v>Gender</v>
          </cell>
          <cell r="O8">
            <v>56</v>
          </cell>
        </row>
        <row r="9">
          <cell r="N9" t="str">
            <v>Gender-age</v>
          </cell>
          <cell r="O9">
            <v>57</v>
          </cell>
        </row>
        <row r="10">
          <cell r="N10" t="str">
            <v>Age</v>
          </cell>
          <cell r="O10">
            <v>75</v>
          </cell>
        </row>
        <row r="11">
          <cell r="N11" t="str">
            <v>Age-religion</v>
          </cell>
          <cell r="O11">
            <v>65</v>
          </cell>
        </row>
        <row r="26">
          <cell r="N26" t="str">
            <v>Religion</v>
          </cell>
          <cell r="O26">
            <v>0.14098197210210078</v>
          </cell>
        </row>
        <row r="27">
          <cell r="N27" t="str">
            <v>Religion-gender</v>
          </cell>
          <cell r="O27">
            <v>0.12952829653965928</v>
          </cell>
        </row>
        <row r="28">
          <cell r="N28" t="str">
            <v>Gender</v>
          </cell>
          <cell r="O28">
            <v>0.14990431892297434</v>
          </cell>
        </row>
        <row r="29">
          <cell r="N29" t="str">
            <v>Gender-age</v>
          </cell>
          <cell r="O29">
            <v>0.12447261062708502</v>
          </cell>
        </row>
        <row r="30">
          <cell r="N30" t="str">
            <v>Age</v>
          </cell>
          <cell r="O30">
            <v>0.12674314997080449</v>
          </cell>
        </row>
        <row r="31">
          <cell r="N31" t="str">
            <v>Age-religion</v>
          </cell>
          <cell r="O31">
            <v>0.10175814652879288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50"/>
  <sheetViews>
    <sheetView topLeftCell="A4" workbookViewId="0">
      <selection activeCell="U46" sqref="U46"/>
    </sheetView>
  </sheetViews>
  <sheetFormatPr baseColWidth="10" defaultColWidth="9.140625" defaultRowHeight="15" x14ac:dyDescent="0.25"/>
  <sheetData>
    <row r="3" spans="2:14" x14ac:dyDescent="0.25">
      <c r="B3" t="s">
        <v>0</v>
      </c>
      <c r="N3" t="s">
        <v>1</v>
      </c>
    </row>
    <row r="44" spans="2:18" x14ac:dyDescent="0.25">
      <c r="B44" t="s">
        <v>5</v>
      </c>
      <c r="E44" t="s">
        <v>6</v>
      </c>
      <c r="N44" t="s">
        <v>5</v>
      </c>
      <c r="Q44" t="s">
        <v>6</v>
      </c>
    </row>
    <row r="45" spans="2:18" x14ac:dyDescent="0.25">
      <c r="B45" cm="1">
        <f t="array" ref="B45:B50">'[1]NoContext Araña'!$O$28:$O$33</f>
        <v>0.80519414269772949</v>
      </c>
      <c r="C45" s="1">
        <f>B45/2</f>
        <v>0.40259707134886474</v>
      </c>
      <c r="E45" cm="1">
        <f t="array" ref="E45:E50">'[2]NoContext Araña'!$O$28:$O$33</f>
        <v>0.18350980612989404</v>
      </c>
      <c r="F45" s="1">
        <f>E45/2</f>
        <v>9.1754903064947019E-2</v>
      </c>
      <c r="N45" cm="1">
        <f t="array" ref="N45:N50">'[3]Vigeo Araña'!$O$27:$O$32</f>
        <v>0.2769575938542016</v>
      </c>
      <c r="O45" s="1">
        <f>N45/2</f>
        <v>0.1384787969271008</v>
      </c>
      <c r="Q45" cm="1">
        <f t="array" ref="Q45:Q50">'[4]Vigeo Araña'!$O$27:$O$32</f>
        <v>0.15196718020077468</v>
      </c>
      <c r="R45" s="1">
        <f>Q45/2</f>
        <v>7.5983590100387341E-2</v>
      </c>
    </row>
    <row r="46" spans="2:18" x14ac:dyDescent="0.25">
      <c r="B46">
        <v>0.81953917050691216</v>
      </c>
      <c r="C46" s="1">
        <f t="shared" ref="C46:C50" si="0">B46/2</f>
        <v>0.40976958525345608</v>
      </c>
      <c r="E46">
        <v>0.27873976783985133</v>
      </c>
      <c r="F46" s="1">
        <f t="shared" ref="F46:F50" si="1">E46/2</f>
        <v>0.13936988391992566</v>
      </c>
      <c r="N46">
        <v>0.29535582224222501</v>
      </c>
      <c r="O46" s="1">
        <f t="shared" ref="O46:O50" si="2">N46/2</f>
        <v>0.1476779111211125</v>
      </c>
      <c r="Q46">
        <v>0.19644239493115759</v>
      </c>
      <c r="R46" s="1">
        <f t="shared" ref="R46:R50" si="3">Q46/2</f>
        <v>9.8221197465578794E-2</v>
      </c>
    </row>
    <row r="47" spans="2:18" x14ac:dyDescent="0.25">
      <c r="B47">
        <v>0.46249519787683147</v>
      </c>
      <c r="C47" s="1">
        <f t="shared" si="0"/>
        <v>0.23124759893841573</v>
      </c>
      <c r="E47">
        <v>0.35964472844035345</v>
      </c>
      <c r="F47" s="1">
        <f t="shared" si="1"/>
        <v>0.17982236422017672</v>
      </c>
      <c r="N47">
        <v>0.35073452941794198</v>
      </c>
      <c r="O47" s="1">
        <f t="shared" si="2"/>
        <v>0.17536726470897099</v>
      </c>
      <c r="Q47">
        <v>0.16199274100323574</v>
      </c>
      <c r="R47" s="1">
        <f t="shared" si="3"/>
        <v>8.099637050161787E-2</v>
      </c>
    </row>
    <row r="48" spans="2:18" x14ac:dyDescent="0.25">
      <c r="B48">
        <v>0.37399689129173241</v>
      </c>
      <c r="C48" s="1">
        <f t="shared" si="0"/>
        <v>0.18699844564586621</v>
      </c>
      <c r="E48">
        <v>0.34056709289879045</v>
      </c>
      <c r="F48" s="1">
        <f t="shared" si="1"/>
        <v>0.17028354644939522</v>
      </c>
      <c r="N48">
        <v>0.27105701713653929</v>
      </c>
      <c r="O48" s="1">
        <f t="shared" si="2"/>
        <v>0.13552850856826965</v>
      </c>
      <c r="Q48">
        <v>0.22637945041101221</v>
      </c>
      <c r="R48" s="1">
        <f t="shared" si="3"/>
        <v>0.1131897252055061</v>
      </c>
    </row>
    <row r="49" spans="2:18" x14ac:dyDescent="0.25">
      <c r="B49">
        <v>0.55293960287711508</v>
      </c>
      <c r="C49" s="1">
        <f t="shared" si="0"/>
        <v>0.27646980143855754</v>
      </c>
      <c r="E49">
        <v>0.33647849453894219</v>
      </c>
      <c r="F49" s="1">
        <f t="shared" si="1"/>
        <v>0.16823924726947109</v>
      </c>
      <c r="N49">
        <v>0.24977358957655313</v>
      </c>
      <c r="O49" s="1">
        <f t="shared" si="2"/>
        <v>0.12488679478827656</v>
      </c>
      <c r="Q49">
        <v>0.20206059378668986</v>
      </c>
      <c r="R49" s="1">
        <f t="shared" si="3"/>
        <v>0.10103029689334493</v>
      </c>
    </row>
    <row r="50" spans="2:18" x14ac:dyDescent="0.25">
      <c r="B50">
        <v>0.4631287885955267</v>
      </c>
      <c r="C50" s="1">
        <f t="shared" si="0"/>
        <v>0.23156439429776335</v>
      </c>
      <c r="E50">
        <v>0.37510369026277518</v>
      </c>
      <c r="F50" s="1">
        <f t="shared" si="1"/>
        <v>0.18755184513138759</v>
      </c>
      <c r="N50">
        <v>0.40126579696732551</v>
      </c>
      <c r="O50" s="1">
        <f t="shared" si="2"/>
        <v>0.20063289848366275</v>
      </c>
      <c r="Q50">
        <v>0.23280539197032182</v>
      </c>
      <c r="R50" s="1">
        <f t="shared" si="3"/>
        <v>0.11640269598516091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A01C-8454-4ABB-B32B-6F9359E50717}">
  <dimension ref="C2:S51"/>
  <sheetViews>
    <sheetView zoomScale="85" zoomScaleNormal="85" workbookViewId="0">
      <selection activeCell="W37" sqref="W37"/>
    </sheetView>
  </sheetViews>
  <sheetFormatPr baseColWidth="10" defaultColWidth="9.140625" defaultRowHeight="15" x14ac:dyDescent="0.25"/>
  <sheetData>
    <row r="2" spans="3:13" x14ac:dyDescent="0.25">
      <c r="C2" t="s">
        <v>2</v>
      </c>
      <c r="M2" t="s">
        <v>3</v>
      </c>
    </row>
    <row r="45" spans="3:19" x14ac:dyDescent="0.25">
      <c r="C45" t="s">
        <v>5</v>
      </c>
      <c r="F45" t="s">
        <v>6</v>
      </c>
      <c r="O45" t="s">
        <v>5</v>
      </c>
      <c r="R45" t="s">
        <v>6</v>
      </c>
    </row>
    <row r="46" spans="3:19" x14ac:dyDescent="0.25">
      <c r="C46" cm="1">
        <f t="array" ref="C46:C51">'[5]NoContext Araña'!$O$27:$O$32</f>
        <v>0.27650850547402261</v>
      </c>
      <c r="D46" s="1">
        <f>C46/2</f>
        <v>0.13825425273701131</v>
      </c>
      <c r="F46" cm="1">
        <f t="array" ref="F46:F51">'[6]NoContext Araña'!$O$28:$O$33</f>
        <v>0.24448686338450115</v>
      </c>
      <c r="G46" s="1">
        <f>F46/2</f>
        <v>0.12224343169225058</v>
      </c>
      <c r="O46" cm="1">
        <f t="array" ref="O46:O51">'[7]Vigeo Araña'!$O$27:$O$32</f>
        <v>1.4071246819338423</v>
      </c>
      <c r="P46" s="1">
        <f>O46/2</f>
        <v>0.70356234096692116</v>
      </c>
      <c r="R46" cm="1">
        <f t="array" ref="R46:R51">'[8]Vigeo Araña'!$O$27:$O$32</f>
        <v>9.1640475216824127E-2</v>
      </c>
      <c r="S46" s="1">
        <f>R46/2</f>
        <v>4.5820237608412064E-2</v>
      </c>
    </row>
    <row r="47" spans="3:19" x14ac:dyDescent="0.25">
      <c r="C47">
        <v>0.22571245977535062</v>
      </c>
      <c r="D47" s="1">
        <f t="shared" ref="D47:D51" si="0">C47/2</f>
        <v>0.11285622988767531</v>
      </c>
      <c r="F47">
        <v>0.26377952755905509</v>
      </c>
      <c r="G47" s="1">
        <f t="shared" ref="G47:G51" si="1">F47/2</f>
        <v>0.13188976377952755</v>
      </c>
      <c r="O47">
        <v>0.70600905340997089</v>
      </c>
      <c r="P47" s="1">
        <f t="shared" ref="P47:P51" si="2">O47/2</f>
        <v>0.35300452670498544</v>
      </c>
      <c r="R47">
        <v>0.11983200361599107</v>
      </c>
      <c r="S47" s="1">
        <f t="shared" ref="S47:S51" si="3">R47/2</f>
        <v>5.9916001807995535E-2</v>
      </c>
    </row>
    <row r="48" spans="3:19" x14ac:dyDescent="0.25">
      <c r="C48">
        <v>9.8754578754578701E-2</v>
      </c>
      <c r="D48" s="1">
        <f t="shared" si="0"/>
        <v>4.937728937728935E-2</v>
      </c>
      <c r="F48">
        <v>0.22014111222077862</v>
      </c>
      <c r="G48" s="1">
        <f t="shared" si="1"/>
        <v>0.11007055611038931</v>
      </c>
      <c r="O48">
        <v>0.98151260504201709</v>
      </c>
      <c r="P48" s="1">
        <f t="shared" si="2"/>
        <v>0.49075630252100855</v>
      </c>
      <c r="R48">
        <v>8.3745796243750087E-2</v>
      </c>
      <c r="S48" s="1">
        <f t="shared" si="3"/>
        <v>4.1872898121875043E-2</v>
      </c>
    </row>
    <row r="49" spans="3:19" x14ac:dyDescent="0.25">
      <c r="C49">
        <v>0.20604518304691874</v>
      </c>
      <c r="D49" s="1">
        <f t="shared" si="0"/>
        <v>0.10302259152345937</v>
      </c>
      <c r="F49">
        <v>0.30246581853140236</v>
      </c>
      <c r="G49" s="1">
        <f t="shared" si="1"/>
        <v>0.15123290926570118</v>
      </c>
      <c r="O49">
        <v>0.93843727229865825</v>
      </c>
      <c r="P49" s="1">
        <f t="shared" si="2"/>
        <v>0.46921863614932913</v>
      </c>
      <c r="R49">
        <v>7.8157549936315934E-2</v>
      </c>
      <c r="S49" s="1">
        <f t="shared" si="3"/>
        <v>3.9078774968157967E-2</v>
      </c>
    </row>
    <row r="50" spans="3:19" x14ac:dyDescent="0.25">
      <c r="C50">
        <v>0.27111065180030697</v>
      </c>
      <c r="D50" s="1">
        <f t="shared" si="0"/>
        <v>0.13555532590015348</v>
      </c>
      <c r="F50">
        <v>0.29596012982868047</v>
      </c>
      <c r="G50" s="1">
        <f t="shared" si="1"/>
        <v>0.14798006491434024</v>
      </c>
      <c r="O50">
        <v>0.94683679679099486</v>
      </c>
      <c r="P50" s="1">
        <f t="shared" si="2"/>
        <v>0.47341839839549743</v>
      </c>
      <c r="R50">
        <v>0.11381071939355258</v>
      </c>
      <c r="S50" s="1">
        <f t="shared" si="3"/>
        <v>5.6905359696776292E-2</v>
      </c>
    </row>
    <row r="51" spans="3:19" x14ac:dyDescent="0.25">
      <c r="C51">
        <v>0.26457570642523631</v>
      </c>
      <c r="D51" s="1">
        <f t="shared" si="0"/>
        <v>0.13228785321261816</v>
      </c>
      <c r="F51">
        <v>0.27874478929517427</v>
      </c>
      <c r="G51" s="1">
        <f t="shared" si="1"/>
        <v>0.13937239464758713</v>
      </c>
      <c r="O51">
        <v>0.91965281095715878</v>
      </c>
      <c r="P51" s="1">
        <f t="shared" si="2"/>
        <v>0.45982640547857939</v>
      </c>
      <c r="R51">
        <v>9.2647131832560473E-2</v>
      </c>
      <c r="S51" s="1">
        <f t="shared" si="3"/>
        <v>4.6323565916280236E-2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9159-A9CE-499F-8293-06E730FB0035}">
  <dimension ref="A2:R49"/>
  <sheetViews>
    <sheetView tabSelected="1" topLeftCell="A18" workbookViewId="0">
      <selection activeCell="V42" sqref="V42"/>
    </sheetView>
  </sheetViews>
  <sheetFormatPr baseColWidth="10" defaultColWidth="9.140625" defaultRowHeight="15" x14ac:dyDescent="0.25"/>
  <sheetData>
    <row r="2" spans="3:13" x14ac:dyDescent="0.25">
      <c r="C2" t="s">
        <v>2</v>
      </c>
      <c r="M2" t="s">
        <v>4</v>
      </c>
    </row>
    <row r="43" spans="1:18" x14ac:dyDescent="0.25">
      <c r="B43" t="s">
        <v>5</v>
      </c>
      <c r="E43" t="s">
        <v>6</v>
      </c>
      <c r="N43" t="s">
        <v>5</v>
      </c>
      <c r="Q43" t="s">
        <v>6</v>
      </c>
    </row>
    <row r="44" spans="1:18" x14ac:dyDescent="0.25">
      <c r="A44" t="s">
        <v>13</v>
      </c>
      <c r="B44" cm="1">
        <f t="array" ref="B44:B49">'[9]NoContext Araña'!$O$27:$O$32</f>
        <v>0.61737572772055538</v>
      </c>
      <c r="C44" s="1">
        <f>B44/2</f>
        <v>0.30868786386027769</v>
      </c>
      <c r="E44" cm="1">
        <f t="array" ref="E44:E49">'[10]NoContext Araña'!$O$28:$O$33</f>
        <v>0.25046408593634384</v>
      </c>
      <c r="F44" s="1">
        <f>E44/2</f>
        <v>0.12523204296817192</v>
      </c>
      <c r="L44" t="str">
        <f>M49</f>
        <v>Religion</v>
      </c>
      <c r="M44" t="s">
        <v>8</v>
      </c>
      <c r="N44" cm="1">
        <f t="array" ref="N44:N49">'[11]Vigeo Araña'!$O$26:$O$31</f>
        <v>0.26808415054405099</v>
      </c>
      <c r="O44" s="1">
        <f>N44/2</f>
        <v>0.1340420752720255</v>
      </c>
      <c r="Q44" cm="1">
        <f t="array" ref="Q44:Q49">'[12]Vigeo Araña'!$O$26:$O$31</f>
        <v>0.14098197210210078</v>
      </c>
      <c r="R44" s="1">
        <f>Q44/2</f>
        <v>7.0490986051050392E-2</v>
      </c>
    </row>
    <row r="45" spans="1:18" x14ac:dyDescent="0.25">
      <c r="A45" t="s">
        <v>12</v>
      </c>
      <c r="B45">
        <v>0.46326244889818907</v>
      </c>
      <c r="C45" s="1">
        <f t="shared" ref="C45:C49" si="0">B45/2</f>
        <v>0.23163122444909454</v>
      </c>
      <c r="E45">
        <v>0.3614464095244152</v>
      </c>
      <c r="F45" s="1">
        <f t="shared" ref="F45:F49" si="1">E45/2</f>
        <v>0.1807232047622076</v>
      </c>
      <c r="L45" t="str">
        <f>M48</f>
        <v>Religion-gender</v>
      </c>
      <c r="M45" t="s">
        <v>9</v>
      </c>
      <c r="N45">
        <v>0.25226277158366239</v>
      </c>
      <c r="O45" s="1">
        <f t="shared" ref="O45:O49" si="2">N45/2</f>
        <v>0.1261313857918312</v>
      </c>
      <c r="Q45">
        <v>0.12952829653965928</v>
      </c>
      <c r="R45" s="1">
        <f t="shared" ref="R45:R49" si="3">Q45/2</f>
        <v>6.4764148269829638E-2</v>
      </c>
    </row>
    <row r="46" spans="1:18" x14ac:dyDescent="0.25">
      <c r="A46" t="s">
        <v>11</v>
      </c>
      <c r="B46">
        <v>0.68295019157088122</v>
      </c>
      <c r="C46" s="1">
        <f t="shared" si="0"/>
        <v>0.34147509578544061</v>
      </c>
      <c r="E46">
        <v>0.30608552013995449</v>
      </c>
      <c r="F46" s="1">
        <f t="shared" si="1"/>
        <v>0.15304276006997725</v>
      </c>
      <c r="L46" t="str">
        <f>M47</f>
        <v>Gender</v>
      </c>
      <c r="M46" t="s">
        <v>10</v>
      </c>
      <c r="N46">
        <v>0.23743617435649458</v>
      </c>
      <c r="O46" s="1">
        <f t="shared" si="2"/>
        <v>0.11871808717824729</v>
      </c>
      <c r="Q46">
        <v>0.14990431892297434</v>
      </c>
      <c r="R46" s="1">
        <f t="shared" si="3"/>
        <v>7.4952159461487172E-2</v>
      </c>
    </row>
    <row r="47" spans="1:18" x14ac:dyDescent="0.25">
      <c r="A47" t="s">
        <v>10</v>
      </c>
      <c r="B47">
        <v>0.66634575402359542</v>
      </c>
      <c r="C47" s="1">
        <f t="shared" si="0"/>
        <v>0.33317287701179771</v>
      </c>
      <c r="E47">
        <v>0.33298504648141786</v>
      </c>
      <c r="F47" s="1">
        <f t="shared" si="1"/>
        <v>0.16649252324070893</v>
      </c>
      <c r="L47" t="str">
        <f>M46</f>
        <v>Gender-age</v>
      </c>
      <c r="M47" t="s">
        <v>11</v>
      </c>
      <c r="N47">
        <v>0.34899852431418593</v>
      </c>
      <c r="O47" s="1">
        <f t="shared" si="2"/>
        <v>0.17449926215709297</v>
      </c>
      <c r="Q47">
        <v>0.12447261062708502</v>
      </c>
      <c r="R47" s="1">
        <f t="shared" si="3"/>
        <v>6.223630531354251E-2</v>
      </c>
    </row>
    <row r="48" spans="1:18" x14ac:dyDescent="0.25">
      <c r="A48" t="s">
        <v>9</v>
      </c>
      <c r="B48">
        <v>0.69259991480344874</v>
      </c>
      <c r="C48" s="1">
        <f t="shared" si="0"/>
        <v>0.34629995740172437</v>
      </c>
      <c r="E48">
        <v>0.34457161226068356</v>
      </c>
      <c r="F48" s="1">
        <f t="shared" si="1"/>
        <v>0.17228580613034178</v>
      </c>
      <c r="L48" t="str">
        <f>M45</f>
        <v>Age</v>
      </c>
      <c r="M48" t="s">
        <v>12</v>
      </c>
      <c r="N48">
        <v>0.3271610479058516</v>
      </c>
      <c r="O48" s="1">
        <f t="shared" si="2"/>
        <v>0.1635805239529258</v>
      </c>
      <c r="Q48">
        <v>0.12674314997080449</v>
      </c>
      <c r="R48" s="1">
        <f t="shared" si="3"/>
        <v>6.3371574985402246E-2</v>
      </c>
    </row>
    <row r="49" spans="1:18" x14ac:dyDescent="0.25">
      <c r="A49" t="s">
        <v>8</v>
      </c>
      <c r="B49">
        <v>0.68233647751858872</v>
      </c>
      <c r="C49" s="1">
        <f t="shared" si="0"/>
        <v>0.34116823875929436</v>
      </c>
      <c r="E49">
        <v>0.34145852561236306</v>
      </c>
      <c r="F49" s="1">
        <f t="shared" si="1"/>
        <v>0.17072926280618153</v>
      </c>
      <c r="L49" t="str">
        <f>M44</f>
        <v>Age-religion</v>
      </c>
      <c r="M49" t="s">
        <v>13</v>
      </c>
      <c r="N49">
        <v>0.35625415124899107</v>
      </c>
      <c r="O49" s="1">
        <f t="shared" si="2"/>
        <v>0.17812707562449553</v>
      </c>
      <c r="Q49">
        <v>0.10175814652879288</v>
      </c>
      <c r="R49" s="1">
        <f t="shared" si="3"/>
        <v>5.0879073264396439E-2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36E3-5E4C-4388-BF70-6822CCCDFB3C}">
  <dimension ref="O27:S33"/>
  <sheetViews>
    <sheetView zoomScaleNormal="100" workbookViewId="0">
      <selection activeCell="B12" sqref="B12"/>
    </sheetView>
  </sheetViews>
  <sheetFormatPr baseColWidth="10" defaultColWidth="9.140625" defaultRowHeight="15" x14ac:dyDescent="0.25"/>
  <sheetData>
    <row r="27" spans="15:19" x14ac:dyDescent="0.25">
      <c r="O27" t="s">
        <v>7</v>
      </c>
      <c r="R27" t="s">
        <v>1</v>
      </c>
    </row>
    <row r="28" spans="15:19" x14ac:dyDescent="0.25">
      <c r="O28" cm="1">
        <f t="array" ref="O28:O33">'[1]NoContext Araña'!$O$28:$O$33</f>
        <v>0.80519414269772949</v>
      </c>
      <c r="P28" s="1">
        <f>O28/2</f>
        <v>0.40259707134886474</v>
      </c>
      <c r="R28" cm="1">
        <f t="array" ref="R28:R33">'[3]Vigeo Araña'!$O$27:$O$32</f>
        <v>0.2769575938542016</v>
      </c>
      <c r="S28" s="1">
        <f>R28/2</f>
        <v>0.1384787969271008</v>
      </c>
    </row>
    <row r="29" spans="15:19" x14ac:dyDescent="0.25">
      <c r="O29">
        <v>0.81953917050691216</v>
      </c>
      <c r="P29" s="1">
        <f t="shared" ref="P29:P33" si="0">O29/2</f>
        <v>0.40976958525345608</v>
      </c>
      <c r="R29">
        <v>0.29535582224222501</v>
      </c>
      <c r="S29" s="1">
        <f t="shared" ref="S29:S33" si="1">R29/2</f>
        <v>0.1476779111211125</v>
      </c>
    </row>
    <row r="30" spans="15:19" x14ac:dyDescent="0.25">
      <c r="O30">
        <v>0.46249519787683147</v>
      </c>
      <c r="P30" s="1">
        <f t="shared" si="0"/>
        <v>0.23124759893841573</v>
      </c>
      <c r="R30">
        <v>0.35073452941794198</v>
      </c>
      <c r="S30" s="1">
        <f t="shared" si="1"/>
        <v>0.17536726470897099</v>
      </c>
    </row>
    <row r="31" spans="15:19" x14ac:dyDescent="0.25">
      <c r="O31">
        <v>0.37399689129173241</v>
      </c>
      <c r="P31" s="1">
        <f t="shared" si="0"/>
        <v>0.18699844564586621</v>
      </c>
      <c r="R31">
        <v>0.27105701713653929</v>
      </c>
      <c r="S31" s="1">
        <f t="shared" si="1"/>
        <v>0.13552850856826965</v>
      </c>
    </row>
    <row r="32" spans="15:19" x14ac:dyDescent="0.25">
      <c r="O32">
        <v>0.55293960287711508</v>
      </c>
      <c r="P32" s="1">
        <f t="shared" si="0"/>
        <v>0.27646980143855754</v>
      </c>
      <c r="R32">
        <v>0.24977358957655313</v>
      </c>
      <c r="S32" s="1">
        <f t="shared" si="1"/>
        <v>0.12488679478827656</v>
      </c>
    </row>
    <row r="33" spans="15:19" x14ac:dyDescent="0.25">
      <c r="O33">
        <v>0.4631287885955267</v>
      </c>
      <c r="P33" s="1">
        <f t="shared" si="0"/>
        <v>0.23156439429776335</v>
      </c>
      <c r="R33">
        <v>0.40126579696732551</v>
      </c>
      <c r="S33" s="1">
        <f t="shared" si="1"/>
        <v>0.20063289848366275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C73F-24DB-4A03-8C84-ABA61E2FD914}">
  <dimension ref="Q26:U32"/>
  <sheetViews>
    <sheetView topLeftCell="C1" zoomScale="145" zoomScaleNormal="145" workbookViewId="0">
      <selection activeCell="M11" sqref="M11"/>
    </sheetView>
  </sheetViews>
  <sheetFormatPr baseColWidth="10" defaultColWidth="9.140625" defaultRowHeight="15" x14ac:dyDescent="0.25"/>
  <sheetData>
    <row r="26" spans="17:21" x14ac:dyDescent="0.25">
      <c r="Q26" t="s">
        <v>1</v>
      </c>
      <c r="T26" t="s">
        <v>7</v>
      </c>
    </row>
    <row r="27" spans="17:21" x14ac:dyDescent="0.25">
      <c r="Q27" cm="1">
        <f t="array" ref="Q27:Q32">'[7]Vigeo Araña'!$O$27:$O$32</f>
        <v>1.4071246819338423</v>
      </c>
      <c r="R27" s="1">
        <f>Q27/2</f>
        <v>0.70356234096692116</v>
      </c>
      <c r="T27" cm="1">
        <f t="array" ref="T27:T32">'[5]NoContext Araña'!$O$27:$O$32</f>
        <v>0.27650850547402261</v>
      </c>
      <c r="U27" s="1">
        <f>T27/2</f>
        <v>0.13825425273701131</v>
      </c>
    </row>
    <row r="28" spans="17:21" x14ac:dyDescent="0.25">
      <c r="Q28">
        <v>0.70600905340997089</v>
      </c>
      <c r="R28" s="1">
        <f t="shared" ref="R28:R32" si="0">Q28/2</f>
        <v>0.35300452670498544</v>
      </c>
      <c r="T28">
        <v>0.22571245977535062</v>
      </c>
      <c r="U28" s="1">
        <f t="shared" ref="U28:U32" si="1">T28/2</f>
        <v>0.11285622988767531</v>
      </c>
    </row>
    <row r="29" spans="17:21" x14ac:dyDescent="0.25">
      <c r="Q29">
        <v>0.98151260504201709</v>
      </c>
      <c r="R29" s="1">
        <f t="shared" si="0"/>
        <v>0.49075630252100855</v>
      </c>
      <c r="T29">
        <v>9.8754578754578701E-2</v>
      </c>
      <c r="U29" s="1">
        <f t="shared" si="1"/>
        <v>4.937728937728935E-2</v>
      </c>
    </row>
    <row r="30" spans="17:21" x14ac:dyDescent="0.25">
      <c r="Q30">
        <v>0.93843727229865825</v>
      </c>
      <c r="R30" s="1">
        <f t="shared" si="0"/>
        <v>0.46921863614932913</v>
      </c>
      <c r="T30">
        <v>0.20604518304691874</v>
      </c>
      <c r="U30" s="1">
        <f t="shared" si="1"/>
        <v>0.10302259152345937</v>
      </c>
    </row>
    <row r="31" spans="17:21" x14ac:dyDescent="0.25">
      <c r="Q31">
        <v>0.94683679679099486</v>
      </c>
      <c r="R31" s="1">
        <f t="shared" si="0"/>
        <v>0.47341839839549743</v>
      </c>
      <c r="T31">
        <v>0.27111065180030697</v>
      </c>
      <c r="U31" s="1">
        <f t="shared" si="1"/>
        <v>0.13555532590015348</v>
      </c>
    </row>
    <row r="32" spans="17:21" x14ac:dyDescent="0.25">
      <c r="Q32">
        <v>0.91965281095715878</v>
      </c>
      <c r="R32" s="1">
        <f t="shared" si="0"/>
        <v>0.45982640547857939</v>
      </c>
      <c r="T32">
        <v>0.26457570642523631</v>
      </c>
      <c r="U32" s="1">
        <f t="shared" si="1"/>
        <v>0.13228785321261816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DD68-8064-44B1-8879-2B87CE0F3FA7}">
  <dimension ref="N27:R33"/>
  <sheetViews>
    <sheetView zoomScale="145" zoomScaleNormal="145" workbookViewId="0">
      <selection activeCell="M4" sqref="M4"/>
    </sheetView>
  </sheetViews>
  <sheetFormatPr baseColWidth="10" defaultColWidth="9.140625" defaultRowHeight="15" x14ac:dyDescent="0.25"/>
  <sheetData>
    <row r="27" spans="14:18" x14ac:dyDescent="0.25">
      <c r="N27" t="s">
        <v>7</v>
      </c>
      <c r="Q27" t="s">
        <v>1</v>
      </c>
    </row>
    <row r="28" spans="14:18" x14ac:dyDescent="0.25">
      <c r="N28" cm="1">
        <f t="array" ref="N28:N33">'[9]NoContext Araña'!$O$27:$O$32</f>
        <v>0.61737572772055538</v>
      </c>
      <c r="O28" s="1">
        <f>N28/2</f>
        <v>0.30868786386027769</v>
      </c>
      <c r="Q28" cm="1">
        <f t="array" ref="Q28:Q33">'[11]Vigeo Araña'!$O$26:$O$31</f>
        <v>0.26808415054405099</v>
      </c>
      <c r="R28" s="1">
        <f>Q28/2</f>
        <v>0.1340420752720255</v>
      </c>
    </row>
    <row r="29" spans="14:18" x14ac:dyDescent="0.25">
      <c r="N29">
        <v>0.46326244889818907</v>
      </c>
      <c r="O29" s="1">
        <f t="shared" ref="O29:O33" si="0">N29/2</f>
        <v>0.23163122444909454</v>
      </c>
      <c r="Q29">
        <v>0.25226277158366239</v>
      </c>
      <c r="R29" s="1">
        <f t="shared" ref="R29:R33" si="1">Q29/2</f>
        <v>0.1261313857918312</v>
      </c>
    </row>
    <row r="30" spans="14:18" x14ac:dyDescent="0.25">
      <c r="N30">
        <v>0.68295019157088122</v>
      </c>
      <c r="O30" s="1">
        <f t="shared" si="0"/>
        <v>0.34147509578544061</v>
      </c>
      <c r="Q30">
        <v>0.23743617435649458</v>
      </c>
      <c r="R30" s="1">
        <f t="shared" si="1"/>
        <v>0.11871808717824729</v>
      </c>
    </row>
    <row r="31" spans="14:18" x14ac:dyDescent="0.25">
      <c r="N31">
        <v>0.66634575402359542</v>
      </c>
      <c r="O31" s="1">
        <f t="shared" si="0"/>
        <v>0.33317287701179771</v>
      </c>
      <c r="Q31">
        <v>0.34899852431418593</v>
      </c>
      <c r="R31" s="1">
        <f t="shared" si="1"/>
        <v>0.17449926215709297</v>
      </c>
    </row>
    <row r="32" spans="14:18" x14ac:dyDescent="0.25">
      <c r="N32">
        <v>0.69259991480344874</v>
      </c>
      <c r="O32" s="1">
        <f t="shared" si="0"/>
        <v>0.34629995740172437</v>
      </c>
      <c r="Q32">
        <v>0.3271610479058516</v>
      </c>
      <c r="R32" s="1">
        <f t="shared" si="1"/>
        <v>0.1635805239529258</v>
      </c>
    </row>
    <row r="33" spans="14:18" x14ac:dyDescent="0.25">
      <c r="N33">
        <v>0.68233647751858872</v>
      </c>
      <c r="O33" s="1">
        <f t="shared" si="0"/>
        <v>0.34116823875929436</v>
      </c>
      <c r="Q33">
        <v>0.35625415124899107</v>
      </c>
      <c r="R33" s="1">
        <f t="shared" si="1"/>
        <v>0.17812707562449553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94E0-BB54-4F78-949C-AB0C2A36E7B0}">
  <dimension ref="N27:R33"/>
  <sheetViews>
    <sheetView zoomScale="115" zoomScaleNormal="115" workbookViewId="0">
      <selection activeCell="O5" sqref="O5"/>
    </sheetView>
  </sheetViews>
  <sheetFormatPr baseColWidth="10" defaultColWidth="9.140625" defaultRowHeight="15" x14ac:dyDescent="0.25"/>
  <sheetData>
    <row r="27" spans="14:18" x14ac:dyDescent="0.25">
      <c r="N27" t="s">
        <v>7</v>
      </c>
      <c r="Q27" t="s">
        <v>1</v>
      </c>
    </row>
    <row r="28" spans="14:18" x14ac:dyDescent="0.25">
      <c r="N28" cm="1">
        <f t="array" ref="N28:N33">'[2]NoContext Araña'!$O$28:$O$33</f>
        <v>0.18350980612989404</v>
      </c>
      <c r="O28" s="1">
        <f>N28/2</f>
        <v>9.1754903064947019E-2</v>
      </c>
      <c r="Q28" cm="1">
        <f t="array" ref="Q28:Q33">'[4]Vigeo Araña'!$O$27:$O$32</f>
        <v>0.15196718020077468</v>
      </c>
      <c r="R28" s="1">
        <f>Q28/2</f>
        <v>7.5983590100387341E-2</v>
      </c>
    </row>
    <row r="29" spans="14:18" x14ac:dyDescent="0.25">
      <c r="N29">
        <v>0.27873976783985133</v>
      </c>
      <c r="O29" s="1">
        <f t="shared" ref="O29:O33" si="0">N29/2</f>
        <v>0.13936988391992566</v>
      </c>
      <c r="Q29">
        <v>0.19644239493115759</v>
      </c>
      <c r="R29" s="1">
        <f t="shared" ref="R29:R33" si="1">Q29/2</f>
        <v>9.8221197465578794E-2</v>
      </c>
    </row>
    <row r="30" spans="14:18" x14ac:dyDescent="0.25">
      <c r="N30">
        <v>0.35964472844035345</v>
      </c>
      <c r="O30" s="1">
        <f t="shared" si="0"/>
        <v>0.17982236422017672</v>
      </c>
      <c r="Q30">
        <v>0.16199274100323574</v>
      </c>
      <c r="R30" s="1">
        <f t="shared" si="1"/>
        <v>8.099637050161787E-2</v>
      </c>
    </row>
    <row r="31" spans="14:18" x14ac:dyDescent="0.25">
      <c r="N31">
        <v>0.34056709289879045</v>
      </c>
      <c r="O31" s="1">
        <f t="shared" si="0"/>
        <v>0.17028354644939522</v>
      </c>
      <c r="Q31">
        <v>0.22637945041101221</v>
      </c>
      <c r="R31" s="1">
        <f t="shared" si="1"/>
        <v>0.1131897252055061</v>
      </c>
    </row>
    <row r="32" spans="14:18" x14ac:dyDescent="0.25">
      <c r="N32">
        <v>0.33647849453894219</v>
      </c>
      <c r="O32" s="1">
        <f t="shared" si="0"/>
        <v>0.16823924726947109</v>
      </c>
      <c r="Q32">
        <v>0.20206059378668986</v>
      </c>
      <c r="R32" s="1">
        <f t="shared" si="1"/>
        <v>0.10103029689334493</v>
      </c>
    </row>
    <row r="33" spans="14:18" x14ac:dyDescent="0.25">
      <c r="N33">
        <v>0.37510369026277518</v>
      </c>
      <c r="O33" s="1">
        <f t="shared" si="0"/>
        <v>0.18755184513138759</v>
      </c>
      <c r="Q33">
        <v>0.23280539197032182</v>
      </c>
      <c r="R33" s="1">
        <f t="shared" si="1"/>
        <v>0.11640269598516091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0DD5-55F3-46D1-94DA-6F51D5946E1E}">
  <dimension ref="N27:R33"/>
  <sheetViews>
    <sheetView topLeftCell="A2" zoomScale="145" zoomScaleNormal="145" workbookViewId="0">
      <selection activeCell="A6" sqref="A6"/>
    </sheetView>
  </sheetViews>
  <sheetFormatPr baseColWidth="10" defaultColWidth="9.140625" defaultRowHeight="15" x14ac:dyDescent="0.25"/>
  <sheetData>
    <row r="27" spans="14:18" x14ac:dyDescent="0.25">
      <c r="N27" t="s">
        <v>7</v>
      </c>
      <c r="Q27" t="s">
        <v>1</v>
      </c>
    </row>
    <row r="28" spans="14:18" x14ac:dyDescent="0.25">
      <c r="N28" cm="1">
        <f t="array" ref="N28:N33">'[6]NoContext Araña'!$O$28:$O$33</f>
        <v>0.24448686338450115</v>
      </c>
      <c r="O28" s="1">
        <f>N28/2</f>
        <v>0.12224343169225058</v>
      </c>
      <c r="Q28" cm="1">
        <f t="array" ref="Q28:Q33">'[8]Vigeo Araña'!$O$27:$O$32</f>
        <v>9.1640475216824127E-2</v>
      </c>
      <c r="R28" s="1">
        <f>Q28/2</f>
        <v>4.5820237608412064E-2</v>
      </c>
    </row>
    <row r="29" spans="14:18" x14ac:dyDescent="0.25">
      <c r="N29">
        <v>0.26377952755905509</v>
      </c>
      <c r="O29" s="1">
        <f t="shared" ref="O29:O33" si="0">N29/2</f>
        <v>0.13188976377952755</v>
      </c>
      <c r="Q29">
        <v>0.11983200361599107</v>
      </c>
      <c r="R29" s="1">
        <f t="shared" ref="R29:R33" si="1">Q29/2</f>
        <v>5.9916001807995535E-2</v>
      </c>
    </row>
    <row r="30" spans="14:18" x14ac:dyDescent="0.25">
      <c r="N30">
        <v>0.22014111222077862</v>
      </c>
      <c r="O30" s="1">
        <f t="shared" si="0"/>
        <v>0.11007055611038931</v>
      </c>
      <c r="Q30">
        <v>8.3745796243750087E-2</v>
      </c>
      <c r="R30" s="1">
        <f t="shared" si="1"/>
        <v>4.1872898121875043E-2</v>
      </c>
    </row>
    <row r="31" spans="14:18" x14ac:dyDescent="0.25">
      <c r="N31">
        <v>0.30246581853140236</v>
      </c>
      <c r="O31" s="1">
        <f t="shared" si="0"/>
        <v>0.15123290926570118</v>
      </c>
      <c r="Q31">
        <v>7.8157549936315934E-2</v>
      </c>
      <c r="R31" s="1">
        <f t="shared" si="1"/>
        <v>3.9078774968157967E-2</v>
      </c>
    </row>
    <row r="32" spans="14:18" x14ac:dyDescent="0.25">
      <c r="N32">
        <v>0.29596012982868047</v>
      </c>
      <c r="O32" s="1">
        <f t="shared" si="0"/>
        <v>0.14798006491434024</v>
      </c>
      <c r="Q32">
        <v>0.11381071939355258</v>
      </c>
      <c r="R32" s="1">
        <f t="shared" si="1"/>
        <v>5.6905359696776292E-2</v>
      </c>
    </row>
    <row r="33" spans="14:18" x14ac:dyDescent="0.25">
      <c r="N33">
        <v>0.27874478929517427</v>
      </c>
      <c r="O33" s="1">
        <f t="shared" si="0"/>
        <v>0.13937239464758713</v>
      </c>
      <c r="Q33">
        <v>9.2647131832560473E-2</v>
      </c>
      <c r="R33" s="1">
        <f t="shared" si="1"/>
        <v>4.6323565916280236E-2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5492-4F04-4406-B6C8-0295E88A8762}">
  <dimension ref="O27:S33"/>
  <sheetViews>
    <sheetView zoomScale="145" zoomScaleNormal="145" workbookViewId="0">
      <selection activeCell="X15" sqref="X15"/>
    </sheetView>
  </sheetViews>
  <sheetFormatPr baseColWidth="10" defaultColWidth="9.140625" defaultRowHeight="15" x14ac:dyDescent="0.25"/>
  <sheetData>
    <row r="27" spans="15:19" x14ac:dyDescent="0.25">
      <c r="O27" t="s">
        <v>7</v>
      </c>
      <c r="R27" t="s">
        <v>1</v>
      </c>
    </row>
    <row r="28" spans="15:19" x14ac:dyDescent="0.25">
      <c r="O28" cm="1">
        <f t="array" ref="O28:O33">'[10]NoContext Araña'!$O$28:$O$33</f>
        <v>0.25046408593634384</v>
      </c>
      <c r="P28" s="1">
        <f>O28/2</f>
        <v>0.12523204296817192</v>
      </c>
      <c r="R28" cm="1">
        <f t="array" ref="R28:R33">'[12]Vigeo Araña'!$O$26:$O$31</f>
        <v>0.14098197210210078</v>
      </c>
      <c r="S28" s="1">
        <f>R28/2</f>
        <v>7.0490986051050392E-2</v>
      </c>
    </row>
    <row r="29" spans="15:19" x14ac:dyDescent="0.25">
      <c r="O29">
        <v>0.3614464095244152</v>
      </c>
      <c r="P29" s="1">
        <f t="shared" ref="P29:P33" si="0">O29/2</f>
        <v>0.1807232047622076</v>
      </c>
      <c r="R29">
        <v>0.12952829653965928</v>
      </c>
      <c r="S29" s="1">
        <f t="shared" ref="S29:S33" si="1">R29/2</f>
        <v>6.4764148269829638E-2</v>
      </c>
    </row>
    <row r="30" spans="15:19" x14ac:dyDescent="0.25">
      <c r="O30">
        <v>0.30608552013995449</v>
      </c>
      <c r="P30" s="1">
        <f t="shared" si="0"/>
        <v>0.15304276006997725</v>
      </c>
      <c r="R30">
        <v>0.14990431892297434</v>
      </c>
      <c r="S30" s="1">
        <f t="shared" si="1"/>
        <v>7.4952159461487172E-2</v>
      </c>
    </row>
    <row r="31" spans="15:19" x14ac:dyDescent="0.25">
      <c r="O31">
        <v>0.33298504648141786</v>
      </c>
      <c r="P31" s="1">
        <f t="shared" si="0"/>
        <v>0.16649252324070893</v>
      </c>
      <c r="R31">
        <v>0.12447261062708502</v>
      </c>
      <c r="S31" s="1">
        <f t="shared" si="1"/>
        <v>6.223630531354251E-2</v>
      </c>
    </row>
    <row r="32" spans="15:19" x14ac:dyDescent="0.25">
      <c r="O32">
        <v>0.34457161226068356</v>
      </c>
      <c r="P32" s="1">
        <f t="shared" si="0"/>
        <v>0.17228580613034178</v>
      </c>
      <c r="R32">
        <v>0.12674314997080449</v>
      </c>
      <c r="S32" s="1">
        <f t="shared" si="1"/>
        <v>6.3371574985402246E-2</v>
      </c>
    </row>
    <row r="33" spans="15:19" x14ac:dyDescent="0.25">
      <c r="O33">
        <v>0.34145852561236306</v>
      </c>
      <c r="P33" s="1">
        <f t="shared" si="0"/>
        <v>0.17072926280618153</v>
      </c>
      <c r="R33">
        <v>0.10175814652879288</v>
      </c>
      <c r="S33" s="1">
        <f t="shared" si="1"/>
        <v>5.0879073264396439E-2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E_Llama_vs_FinGPT</vt:lpstr>
      <vt:lpstr>S_Llama_vs_FinGPT</vt:lpstr>
      <vt:lpstr>G_Llama_vs_FinGPT</vt:lpstr>
      <vt:lpstr>Llama_E_Vigeo_vs_NoContext</vt:lpstr>
      <vt:lpstr>Llama_S_Vigeo_vs_NoContext</vt:lpstr>
      <vt:lpstr>Llama_G_Vigeo_vs_NoContext</vt:lpstr>
      <vt:lpstr>FinGPT_E_Vigeo_vs_NoContext</vt:lpstr>
      <vt:lpstr>FinGPT_S_Vigeo_vs_NoContext</vt:lpstr>
      <vt:lpstr>FinGPT_G_Vigeo_vs_NoContext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2026-06-10T08:27:47Z</dcterms:modified>
</cp:coreProperties>
</file>