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28D3C99A-FEA6-4FC5-A7B3-CA918550344F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O32" i="1"/>
  <c r="O31" i="1"/>
  <c r="O30" i="1"/>
  <c r="O29" i="1"/>
  <c r="O28" i="1"/>
  <c r="C11" i="3"/>
  <c r="C10" i="3"/>
  <c r="C9" i="3"/>
  <c r="X14" i="2" l="1"/>
  <c r="X13" i="2"/>
  <c r="X10" i="2"/>
  <c r="X9" i="2"/>
  <c r="X11" i="2"/>
  <c r="X12" i="2"/>
  <c r="X8" i="2"/>
  <c r="X7" i="2"/>
  <c r="X6" i="2"/>
  <c r="X5" i="2"/>
  <c r="X4" i="2"/>
  <c r="X3" i="2"/>
  <c r="U13" i="2"/>
  <c r="U11" i="2"/>
  <c r="U9" i="2"/>
  <c r="U7" i="2"/>
  <c r="U5" i="2"/>
  <c r="U3" i="2"/>
  <c r="D41" i="2" l="1"/>
  <c r="D40" i="2"/>
  <c r="D39" i="2"/>
  <c r="D38" i="2"/>
  <c r="D37" i="2"/>
  <c r="D36" i="2"/>
  <c r="D35" i="2"/>
  <c r="D34" i="2"/>
  <c r="D33" i="2"/>
  <c r="D32" i="2"/>
  <c r="D14" i="2"/>
  <c r="D13" i="2"/>
  <c r="D12" i="2"/>
  <c r="D11" i="2"/>
  <c r="D10" i="2"/>
  <c r="D9" i="2"/>
  <c r="D8" i="2"/>
  <c r="D7" i="2"/>
  <c r="D6" i="2"/>
  <c r="D5" i="2"/>
  <c r="D4" i="2"/>
  <c r="D3" i="2"/>
  <c r="C5" i="3"/>
  <c r="C4" i="3"/>
  <c r="C3" i="3"/>
  <c r="O11" i="1" l="1"/>
  <c r="O10" i="1" l="1"/>
  <c r="A11" i="2" s="1"/>
  <c r="O9" i="1"/>
  <c r="A9" i="2" s="1"/>
  <c r="O8" i="1"/>
  <c r="A13" i="2"/>
  <c r="O7" i="1"/>
  <c r="A5" i="2" s="1"/>
  <c r="O6" i="1"/>
  <c r="F14" i="2"/>
  <c r="F12" i="2"/>
  <c r="F10" i="2"/>
  <c r="F6" i="2"/>
  <c r="F8" i="2"/>
  <c r="F4" i="2"/>
  <c r="D30" i="2" l="1"/>
  <c r="D31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<sst xmlns="http://schemas.openxmlformats.org/spreadsheetml/2006/main" count="74" uniqueCount="23">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</sst>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15</c:v>
                </c:pt>
                <c:pt idx="1">
                  <c:v>20</c:v>
                </c:pt>
                <c:pt idx="2">
                  <c:v>17</c:v>
                </c:pt>
                <c:pt idx="3">
                  <c:v>108</c:v>
                </c:pt>
                <c:pt idx="4">
                  <c:v>112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0.80519414269772949</c:v>
                </c:pt>
                <c:pt idx="1">
                  <c:v>0.81953917050691216</c:v>
                </c:pt>
                <c:pt idx="2">
                  <c:v>0.46249519787683147</c:v>
                </c:pt>
                <c:pt idx="3">
                  <c:v>0.37399689129173241</c:v>
                </c:pt>
                <c:pt idx="4">
                  <c:v>0.55293960287711508</c:v>
                </c:pt>
                <c:pt idx="5">
                  <c:v>0.4631287885955267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13</c:v>
                </c:pt>
                <c:pt idx="1">
                  <c:v>2</c:v>
                </c:pt>
                <c:pt idx="2">
                  <c:v>18</c:v>
                </c:pt>
                <c:pt idx="3">
                  <c:v>2</c:v>
                </c:pt>
                <c:pt idx="4">
                  <c:v>10</c:v>
                </c:pt>
                <c:pt idx="5">
                  <c:v>7</c:v>
                </c:pt>
                <c:pt idx="6">
                  <c:v>107</c:v>
                </c:pt>
                <c:pt idx="7">
                  <c:v>1</c:v>
                </c:pt>
                <c:pt idx="8">
                  <c:v>97</c:v>
                </c:pt>
                <c:pt idx="9">
                  <c:v>15</c:v>
                </c:pt>
                <c:pt idx="10">
                  <c:v>132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0.8666666666666667</c:v>
                </c:pt>
                <c:pt idx="1">
                  <c:v>0.13333333333333333</c:v>
                </c:pt>
                <c:pt idx="2">
                  <c:v>0.9</c:v>
                </c:pt>
                <c:pt idx="3">
                  <c:v>0.1</c:v>
                </c:pt>
                <c:pt idx="4">
                  <c:v>0.58823529411764708</c:v>
                </c:pt>
                <c:pt idx="5">
                  <c:v>0.41176470588235292</c:v>
                </c:pt>
                <c:pt idx="6">
                  <c:v>0.9907407407407407</c:v>
                </c:pt>
                <c:pt idx="7">
                  <c:v>9.2592592592592587E-3</c:v>
                </c:pt>
                <c:pt idx="8">
                  <c:v>0.8660714285714286</c:v>
                </c:pt>
                <c:pt idx="9">
                  <c:v>0.13392857142857142</c:v>
                </c:pt>
                <c:pt idx="10">
                  <c:v>0.94964028776978415</c:v>
                </c:pt>
                <c:pt idx="11">
                  <c:v>5.0359712230215826E-2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0.89454858866623566</c:v>
                </c:pt>
                <c:pt idx="1">
                  <c:v>0.22439024390243903</c:v>
                </c:pt>
                <c:pt idx="2">
                  <c:v>0.8661546338965691</c:v>
                </c:pt>
                <c:pt idx="3">
                  <c:v>0.4</c:v>
                </c:pt>
                <c:pt idx="4">
                  <c:v>0.54136378761012549</c:v>
                </c:pt>
                <c:pt idx="5">
                  <c:v>0.34982578397212544</c:v>
                </c:pt>
                <c:pt idx="6">
                  <c:v>0.37426950161962808</c:v>
                </c:pt>
                <c:pt idx="7">
                  <c:v>0.34482758620689657</c:v>
                </c:pt>
                <c:pt idx="8">
                  <c:v>0.62476537006555111</c:v>
                </c:pt>
                <c:pt idx="9">
                  <c:v>8.846630839189748E-2</c:v>
                </c:pt>
                <c:pt idx="10">
                  <c:v>0.46957159504668017</c:v>
                </c:pt>
                <c:pt idx="11">
                  <c:v>0.34163586694520326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140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0.47822472170946345</c:v>
                </c:pt>
                <c:pt idx="1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2</xdr:row>
      <xdr:rowOff>4762</xdr:rowOff>
    </xdr:from>
    <xdr:to>
      <xdr:col>8</xdr:col>
      <xdr:colOff>304800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full.xlsx" TargetMode="External"/><Relationship Id="rId2" Type="http://schemas.openxmlformats.org/officeDocument/2006/relationships/externalLinkPath" Target="file:///C:\Users\jsanchez\Downloads\TFM%20Graficar\Graficar\0.%20No%20context\E%20-%20Environment\E_full.xlsx" TargetMode="External"/><Relationship Id="rId1" Type="http://schemas.openxmlformats.org/officeDocument/2006/relationships/externalLinkPath" Target="/Users/jsanchez/Downloads/TFM%20Graficar/Graficar/0.%20No%20context/E%20-%20Environment/E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religion.xlsx" TargetMode="External"/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/Users/jsanchez/Downloads/TFM%20Graficar/Graficar/0.%20No%20context/E%20-%20Environment/E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religion_gender.xlsx" TargetMode="External"/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/Users/jsanchez/Downloads/TFM%20Graficar/Graficar/0.%20No%20context/E%20-%20Environment/E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gender.xlsx" TargetMode="External"/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/Users/jsanchez/Downloads/TFM%20Graficar/Graficar/0.%20No%20context/E%20-%20Environment/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age_gender.xlsx" TargetMode="External"/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/Users/jsanchez/Downloads/TFM%20Graficar/Graficar/0.%20No%20context/E%20-%20Environment/E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age.xlsx" TargetMode="External"/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/Users/jsanchez/Downloads/TFM%20Graficar/Graficar/0.%20No%20context/E%20-%20Environment/E_age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E%20-%20Environment/E_age_religion.xlsx" TargetMode="External"/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/Users/jsanchez/Downloads/TFM%20Graficar/Graficar/0.%20No%20context/E%20-%20Environment/E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141</v>
          </cell>
          <cell r="N5">
            <v>0.47685939946836287</v>
          </cell>
        </row>
        <row r="8">
          <cell r="H8">
            <v>140</v>
          </cell>
          <cell r="K8">
            <v>0.47822472170946345</v>
          </cell>
        </row>
        <row r="10">
          <cell r="H10">
            <v>1</v>
          </cell>
          <cell r="K10">
            <v>0.2857142857142857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 refreshError="1"/>
      <sheetData sheetId="1">
        <row r="5">
          <cell r="H5">
            <v>15</v>
          </cell>
          <cell r="N5">
            <v>0.80519414269772949</v>
          </cell>
        </row>
        <row r="8">
          <cell r="H8">
            <v>13</v>
          </cell>
          <cell r="K8">
            <v>0.89454858866623566</v>
          </cell>
        </row>
        <row r="10">
          <cell r="H10">
            <v>2</v>
          </cell>
          <cell r="K10">
            <v>0.22439024390243903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/>
      <sheetData sheetId="1">
        <row r="5">
          <cell r="H5">
            <v>20</v>
          </cell>
          <cell r="N5">
            <v>0.81953917050691216</v>
          </cell>
        </row>
        <row r="8">
          <cell r="H8">
            <v>18</v>
          </cell>
          <cell r="K8">
            <v>0.8661546338965691</v>
          </cell>
        </row>
        <row r="10">
          <cell r="H10">
            <v>2</v>
          </cell>
          <cell r="K10">
            <v>0.4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17</v>
          </cell>
          <cell r="N5">
            <v>0.46249519787683147</v>
          </cell>
        </row>
        <row r="8">
          <cell r="H8">
            <v>10</v>
          </cell>
          <cell r="K8">
            <v>0.54136378761012549</v>
          </cell>
        </row>
        <row r="10">
          <cell r="H10">
            <v>7</v>
          </cell>
          <cell r="K10">
            <v>0.34982578397212544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/>
      <sheetData sheetId="1">
        <row r="5">
          <cell r="H5">
            <v>108</v>
          </cell>
          <cell r="N5">
            <v>0.37399689129173241</v>
          </cell>
        </row>
        <row r="8">
          <cell r="H8">
            <v>107</v>
          </cell>
          <cell r="K8">
            <v>0.37426950161962808</v>
          </cell>
        </row>
        <row r="10">
          <cell r="H10">
            <v>1</v>
          </cell>
          <cell r="K10">
            <v>0.34482758620689657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112</v>
          </cell>
          <cell r="N5">
            <v>0.55293960287711508</v>
          </cell>
        </row>
        <row r="8">
          <cell r="H8">
            <v>97</v>
          </cell>
          <cell r="K8">
            <v>0.62476537006555111</v>
          </cell>
        </row>
        <row r="10">
          <cell r="H10">
            <v>15</v>
          </cell>
          <cell r="K10">
            <v>8.846630839189748E-2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"/>
      <sheetName val="Sheet1"/>
    </sheetNames>
    <sheetDataSet>
      <sheetData sheetId="0"/>
      <sheetData sheetId="1">
        <row r="5">
          <cell r="H5">
            <v>139</v>
          </cell>
          <cell r="N5">
            <v>0.4631287885955267</v>
          </cell>
        </row>
        <row r="8">
          <cell r="H8">
            <v>132</v>
          </cell>
          <cell r="K8">
            <v>0.46957159504668017</v>
          </cell>
        </row>
        <row r="10">
          <cell r="H10">
            <v>7</v>
          </cell>
          <cell r="K10">
            <v>0.34163586694520326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topLeftCell="A13" zoomScale="115" zoomScaleNormal="115" workbookViewId="0">
      <selection activeCell="D25" sqref="D25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[2]Sheet1!$H$5</f>
        <v>15</v>
      </c>
    </row>
    <row r="7" spans="14:15" x14ac:dyDescent="0.25">
      <c r="N7" t="s">
        <v>19</v>
      </c>
      <c r="O7">
        <f>[3]Sheet1!$H$5</f>
        <v>20</v>
      </c>
    </row>
    <row r="8" spans="14:15" x14ac:dyDescent="0.25">
      <c r="N8" t="s">
        <v>20</v>
      </c>
      <c r="O8">
        <f>[4]Sheet1!$H$5</f>
        <v>17</v>
      </c>
    </row>
    <row r="9" spans="14:15" x14ac:dyDescent="0.25">
      <c r="N9" t="s">
        <v>18</v>
      </c>
      <c r="O9">
        <f>[5]Sheet1!$H$5</f>
        <v>108</v>
      </c>
    </row>
    <row r="10" spans="14:15" x14ac:dyDescent="0.25">
      <c r="N10" t="s">
        <v>1</v>
      </c>
      <c r="O10">
        <f>[6]Sheet1!$H$5</f>
        <v>112</v>
      </c>
    </row>
    <row r="11" spans="14:15" x14ac:dyDescent="0.25">
      <c r="N11" t="s">
        <v>2</v>
      </c>
      <c r="O11">
        <f>[7]Sheet1!$H$5</f>
        <v>139</v>
      </c>
    </row>
    <row r="28" spans="14:15" x14ac:dyDescent="0.25">
      <c r="N28" t="s">
        <v>0</v>
      </c>
      <c r="O28" s="2">
        <f>'NoContext Individual'!U3</f>
        <v>0.80519414269772949</v>
      </c>
    </row>
    <row r="29" spans="14:15" x14ac:dyDescent="0.25">
      <c r="N29" t="s">
        <v>19</v>
      </c>
      <c r="O29" s="2">
        <f>'NoContext Individual'!U5</f>
        <v>0.81953917050691216</v>
      </c>
    </row>
    <row r="30" spans="14:15" x14ac:dyDescent="0.25">
      <c r="N30" t="s">
        <v>20</v>
      </c>
      <c r="O30" s="2">
        <f>'NoContext Individual'!U7</f>
        <v>0.46249519787683147</v>
      </c>
    </row>
    <row r="31" spans="14:15" x14ac:dyDescent="0.25">
      <c r="N31" t="s">
        <v>18</v>
      </c>
      <c r="O31" s="2">
        <f>'NoContext Individual'!U9</f>
        <v>0.37399689129173241</v>
      </c>
    </row>
    <row r="32" spans="14:15" x14ac:dyDescent="0.25">
      <c r="N32" t="s">
        <v>1</v>
      </c>
      <c r="O32" s="2">
        <f>'NoContext Individual'!U11</f>
        <v>0.55293960287711508</v>
      </c>
    </row>
    <row r="33" spans="14:15" x14ac:dyDescent="0.25">
      <c r="N33" t="s">
        <v>2</v>
      </c>
      <c r="O33" s="2">
        <f>'NoContext Individual'!U13</f>
        <v>0.4631287885955267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zoomScale="85" zoomScaleNormal="85" workbookViewId="0">
      <selection activeCell="Z7" sqref="Z7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15</v>
      </c>
      <c r="B3" t="s">
        <v>0</v>
      </c>
      <c r="C3" t="s">
        <v>4</v>
      </c>
      <c r="D3">
        <f>[2]Sheet1!$H$8</f>
        <v>13</v>
      </c>
      <c r="U3" s="2">
        <f>[2]Sheet1!$N$5</f>
        <v>0.80519414269772949</v>
      </c>
      <c r="V3" t="s">
        <v>0</v>
      </c>
      <c r="W3" t="s">
        <v>4</v>
      </c>
      <c r="X3" s="2">
        <f>[2]Sheet1!$K$8</f>
        <v>0.89454858866623566</v>
      </c>
    </row>
    <row r="4" spans="1:24" x14ac:dyDescent="0.25">
      <c r="C4" t="s">
        <v>3</v>
      </c>
      <c r="D4">
        <f>[2]Sheet1!$H$10</f>
        <v>2</v>
      </c>
      <c r="F4">
        <f>SUM(D3:D4)</f>
        <v>15</v>
      </c>
      <c r="U4" s="2"/>
      <c r="W4" t="s">
        <v>3</v>
      </c>
      <c r="X4" s="2">
        <f>[2]Sheet1!$K$10</f>
        <v>0.22439024390243903</v>
      </c>
    </row>
    <row r="5" spans="1:24" x14ac:dyDescent="0.25">
      <c r="A5">
        <f>'NoContext Araña'!O7</f>
        <v>20</v>
      </c>
      <c r="B5" t="s">
        <v>19</v>
      </c>
      <c r="C5" t="s">
        <v>6</v>
      </c>
      <c r="D5">
        <f>[3]Sheet1!$H$8</f>
        <v>18</v>
      </c>
      <c r="U5" s="2">
        <f>[3]Sheet1!$N$5</f>
        <v>0.81953917050691216</v>
      </c>
      <c r="V5" t="s">
        <v>19</v>
      </c>
      <c r="W5" t="s">
        <v>6</v>
      </c>
      <c r="X5" s="2">
        <f>[3]Sheet1!$K$8</f>
        <v>0.8661546338965691</v>
      </c>
    </row>
    <row r="6" spans="1:24" x14ac:dyDescent="0.25">
      <c r="C6" t="s">
        <v>5</v>
      </c>
      <c r="D6">
        <f>[3]Sheet1!$H$10</f>
        <v>2</v>
      </c>
      <c r="F6">
        <f>SUM(D5:D6)</f>
        <v>20</v>
      </c>
      <c r="U6" s="2"/>
      <c r="W6" t="s">
        <v>5</v>
      </c>
      <c r="X6" s="2">
        <f>[3]Sheet1!$K$10</f>
        <v>0.4</v>
      </c>
    </row>
    <row r="7" spans="1:24" x14ac:dyDescent="0.25">
      <c r="A7">
        <f>'NoContext Araña'!O8</f>
        <v>17</v>
      </c>
      <c r="B7" t="s">
        <v>20</v>
      </c>
      <c r="C7" t="s">
        <v>7</v>
      </c>
      <c r="D7">
        <f>[4]Sheet1!$H$8</f>
        <v>10</v>
      </c>
      <c r="U7" s="2">
        <f>[4]Sheet1!$N$5</f>
        <v>0.46249519787683147</v>
      </c>
      <c r="V7" t="s">
        <v>20</v>
      </c>
      <c r="W7" t="s">
        <v>7</v>
      </c>
      <c r="X7" s="2">
        <f>[4]Sheet1!$K$8</f>
        <v>0.54136378761012549</v>
      </c>
    </row>
    <row r="8" spans="1:24" x14ac:dyDescent="0.25">
      <c r="C8" t="s">
        <v>8</v>
      </c>
      <c r="D8">
        <f>[4]Sheet1!$H$10</f>
        <v>7</v>
      </c>
      <c r="F8">
        <f t="shared" ref="F8" si="0">SUM(D7:D8)</f>
        <v>17</v>
      </c>
      <c r="U8" s="2"/>
      <c r="W8" t="s">
        <v>8</v>
      </c>
      <c r="X8" s="2">
        <f>[4]Sheet1!$K$10</f>
        <v>0.34982578397212544</v>
      </c>
    </row>
    <row r="9" spans="1:24" x14ac:dyDescent="0.25">
      <c r="A9">
        <f>'NoContext Araña'!O9</f>
        <v>108</v>
      </c>
      <c r="B9" t="s">
        <v>18</v>
      </c>
      <c r="C9" t="s">
        <v>9</v>
      </c>
      <c r="D9">
        <f>[5]Sheet1!$H$8</f>
        <v>107</v>
      </c>
      <c r="U9" s="2">
        <f>[5]Sheet1!$N$5</f>
        <v>0.37399689129173241</v>
      </c>
      <c r="V9" t="s">
        <v>18</v>
      </c>
      <c r="W9" t="s">
        <v>9</v>
      </c>
      <c r="X9" s="2">
        <f>[5]Sheet1!$K$8</f>
        <v>0.37426950161962808</v>
      </c>
    </row>
    <row r="10" spans="1:24" x14ac:dyDescent="0.25">
      <c r="C10" t="s">
        <v>10</v>
      </c>
      <c r="D10">
        <f>[5]Sheet1!$H$10</f>
        <v>1</v>
      </c>
      <c r="F10">
        <f t="shared" ref="F10" si="1">SUM(D9:D10)</f>
        <v>108</v>
      </c>
      <c r="U10" s="2"/>
      <c r="W10" t="s">
        <v>10</v>
      </c>
      <c r="X10" s="2">
        <f>[5]Sheet1!$K$10</f>
        <v>0.34482758620689657</v>
      </c>
    </row>
    <row r="11" spans="1:24" x14ac:dyDescent="0.25">
      <c r="A11">
        <f>'NoContext Araña'!O10</f>
        <v>112</v>
      </c>
      <c r="B11" t="s">
        <v>1</v>
      </c>
      <c r="C11" t="s">
        <v>11</v>
      </c>
      <c r="D11">
        <f>[6]Sheet1!$H$8</f>
        <v>97</v>
      </c>
      <c r="U11" s="2">
        <f>[6]Sheet1!$N$5</f>
        <v>0.55293960287711508</v>
      </c>
      <c r="V11" t="s">
        <v>1</v>
      </c>
      <c r="W11" t="s">
        <v>11</v>
      </c>
      <c r="X11" s="2">
        <f>[6]Sheet1!$K$8</f>
        <v>0.62476537006555111</v>
      </c>
    </row>
    <row r="12" spans="1:24" x14ac:dyDescent="0.25">
      <c r="C12" t="s">
        <v>12</v>
      </c>
      <c r="D12">
        <f>[6]Sheet1!$H$10</f>
        <v>15</v>
      </c>
      <c r="F12">
        <f t="shared" ref="F12" si="2">SUM(D11:D12)</f>
        <v>112</v>
      </c>
      <c r="U12" s="2"/>
      <c r="W12" t="s">
        <v>12</v>
      </c>
      <c r="X12" s="2">
        <f>[6]Sheet1!$K$10</f>
        <v>8.846630839189748E-2</v>
      </c>
    </row>
    <row r="13" spans="1:24" x14ac:dyDescent="0.25">
      <c r="A13">
        <f>'NoContext Araña'!O11</f>
        <v>139</v>
      </c>
      <c r="B13" t="s">
        <v>2</v>
      </c>
      <c r="C13" t="s">
        <v>13</v>
      </c>
      <c r="D13">
        <f>[7]Sheet1!$H$8</f>
        <v>132</v>
      </c>
      <c r="U13" s="2">
        <f>[7]Sheet1!$N$5</f>
        <v>0.4631287885955267</v>
      </c>
      <c r="V13" t="s">
        <v>2</v>
      </c>
      <c r="W13" t="s">
        <v>13</v>
      </c>
      <c r="X13" s="2">
        <f>[7]Sheet1!$K$8</f>
        <v>0.46957159504668017</v>
      </c>
    </row>
    <row r="14" spans="1:24" x14ac:dyDescent="0.25">
      <c r="C14" t="s">
        <v>14</v>
      </c>
      <c r="D14">
        <f>[7]Sheet1!$H$10</f>
        <v>7</v>
      </c>
      <c r="F14">
        <f t="shared" ref="F14" si="3">SUM(D13:D14)</f>
        <v>139</v>
      </c>
      <c r="U14" s="2"/>
      <c r="W14" t="s">
        <v>14</v>
      </c>
      <c r="X14" s="2">
        <f>[7]Sheet1!$K$10</f>
        <v>0.34163586694520326</v>
      </c>
    </row>
    <row r="30" spans="2:4" x14ac:dyDescent="0.25">
      <c r="B30" t="s">
        <v>0</v>
      </c>
      <c r="C30" t="s">
        <v>4</v>
      </c>
      <c r="D30" s="1">
        <f>D3/$F$4</f>
        <v>0.8666666666666667</v>
      </c>
    </row>
    <row r="31" spans="2:4" x14ac:dyDescent="0.25">
      <c r="C31" t="s">
        <v>3</v>
      </c>
      <c r="D31" s="1">
        <f>D4/$F$4</f>
        <v>0.13333333333333333</v>
      </c>
    </row>
    <row r="32" spans="2:4" x14ac:dyDescent="0.25">
      <c r="B32" t="s">
        <v>19</v>
      </c>
      <c r="C32" t="s">
        <v>6</v>
      </c>
      <c r="D32" s="1">
        <f>D5/$F$6</f>
        <v>0.9</v>
      </c>
    </row>
    <row r="33" spans="2:4" x14ac:dyDescent="0.25">
      <c r="C33" t="s">
        <v>5</v>
      </c>
      <c r="D33" s="1">
        <f>D6/$F$6</f>
        <v>0.1</v>
      </c>
    </row>
    <row r="34" spans="2:4" x14ac:dyDescent="0.25">
      <c r="B34" t="s">
        <v>20</v>
      </c>
      <c r="C34" t="s">
        <v>7</v>
      </c>
      <c r="D34" s="1">
        <f>D7/$F$8</f>
        <v>0.58823529411764708</v>
      </c>
    </row>
    <row r="35" spans="2:4" x14ac:dyDescent="0.25">
      <c r="C35" t="s">
        <v>8</v>
      </c>
      <c r="D35" s="1">
        <f>D8/$F$8</f>
        <v>0.41176470588235292</v>
      </c>
    </row>
    <row r="36" spans="2:4" x14ac:dyDescent="0.25">
      <c r="B36" t="s">
        <v>18</v>
      </c>
      <c r="C36" t="s">
        <v>9</v>
      </c>
      <c r="D36" s="1">
        <f>D9/$F$10</f>
        <v>0.9907407407407407</v>
      </c>
    </row>
    <row r="37" spans="2:4" x14ac:dyDescent="0.25">
      <c r="C37" t="s">
        <v>10</v>
      </c>
      <c r="D37" s="1">
        <f>D10/$F$10</f>
        <v>9.2592592592592587E-3</v>
      </c>
    </row>
    <row r="38" spans="2:4" x14ac:dyDescent="0.25">
      <c r="B38" t="s">
        <v>1</v>
      </c>
      <c r="C38" t="s">
        <v>11</v>
      </c>
      <c r="D38" s="1">
        <f>D11/$F$12</f>
        <v>0.8660714285714286</v>
      </c>
    </row>
    <row r="39" spans="2:4" x14ac:dyDescent="0.25">
      <c r="C39" t="s">
        <v>12</v>
      </c>
      <c r="D39" s="1">
        <f>D12/$F$12</f>
        <v>0.13392857142857142</v>
      </c>
    </row>
    <row r="40" spans="2:4" x14ac:dyDescent="0.25">
      <c r="B40" t="s">
        <v>2</v>
      </c>
      <c r="C40" t="s">
        <v>13</v>
      </c>
      <c r="D40" s="1">
        <f>D13/$F$14</f>
        <v>0.94964028776978415</v>
      </c>
    </row>
    <row r="41" spans="2:4" x14ac:dyDescent="0.25">
      <c r="C41" t="s">
        <v>14</v>
      </c>
      <c r="D41" s="1">
        <f>D14/$F$14</f>
        <v>5.0359712230215826E-2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V12" sqref="V12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141</v>
      </c>
    </row>
    <row r="4" spans="2:3" x14ac:dyDescent="0.25">
      <c r="B4" t="s">
        <v>15</v>
      </c>
      <c r="C4">
        <f>[1]Sheet1!$H$8</f>
        <v>140</v>
      </c>
    </row>
    <row r="5" spans="2:3" x14ac:dyDescent="0.25">
      <c r="B5" t="s">
        <v>16</v>
      </c>
      <c r="C5">
        <f>[1]Sheet1!$H$10</f>
        <v>1</v>
      </c>
    </row>
    <row r="8" spans="2:3" x14ac:dyDescent="0.25">
      <c r="B8" t="s">
        <v>22</v>
      </c>
    </row>
    <row r="9" spans="2:3" x14ac:dyDescent="0.25">
      <c r="B9" t="s">
        <v>17</v>
      </c>
      <c r="C9" s="2">
        <f>[1]Sheet1!$N$5</f>
        <v>0.47685939946836287</v>
      </c>
    </row>
    <row r="10" spans="2:3" x14ac:dyDescent="0.25">
      <c r="B10" t="s">
        <v>15</v>
      </c>
      <c r="C10" s="2">
        <f>[1]Sheet1!$K$8</f>
        <v>0.47822472170946345</v>
      </c>
    </row>
    <row r="11" spans="2:3" x14ac:dyDescent="0.25">
      <c r="B11" t="s">
        <v>16</v>
      </c>
      <c r="C11" s="2">
        <f>[1]Sheet1!$K$10</f>
        <v>0.2857142857142857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2026-06-11T09:47:11Z</dcterms:modified>
</cp:coreProperties>
</file>