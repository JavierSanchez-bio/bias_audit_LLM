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4302D3E4-74ED-4F0D-9F0C-26008FFBB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3" i="3"/>
  <c r="C12" i="3"/>
  <c r="C11" i="3"/>
  <c r="W14" i="2"/>
  <c r="W13" i="2"/>
  <c r="W12" i="2"/>
  <c r="W11" i="2"/>
  <c r="W10" i="2"/>
  <c r="W9" i="2"/>
  <c r="W8" i="2"/>
  <c r="W7" i="2"/>
  <c r="W6" i="2"/>
  <c r="W5" i="2"/>
  <c r="T13" i="2"/>
  <c r="T11" i="2"/>
  <c r="T9" i="2"/>
  <c r="T7" i="2"/>
  <c r="T5" i="2"/>
  <c r="T3" i="2"/>
  <c r="W4" i="2"/>
  <c r="W3" i="2"/>
  <c r="D40" i="2"/>
  <c r="D39" i="2"/>
  <c r="D38" i="2"/>
  <c r="D37" i="2"/>
  <c r="D36" i="2"/>
  <c r="D35" i="2"/>
  <c r="D34" i="2"/>
  <c r="D33" i="2"/>
  <c r="D32" i="2"/>
  <c r="D31" i="2"/>
  <c r="D30" i="2"/>
  <c r="D29" i="2"/>
  <c r="C5" i="3"/>
  <c r="C4" i="3"/>
  <c r="C3" i="3"/>
  <c r="F4" i="2"/>
  <c r="D14" i="2"/>
  <c r="D13" i="2"/>
  <c r="F14" i="2"/>
  <c r="D12" i="2"/>
  <c r="D11" i="2"/>
  <c r="F12" i="2" s="1"/>
  <c r="D10" i="2"/>
  <c r="D9" i="2"/>
  <c r="F10" i="2" s="1"/>
  <c r="D8" i="2"/>
  <c r="D7" i="2"/>
  <c r="D6" i="2"/>
  <c r="F6" i="2"/>
  <c r="F8" i="2"/>
  <c r="D5" i="2"/>
  <c r="O7" i="1"/>
  <c r="A5" i="2" s="1"/>
  <c r="D4" i="2"/>
  <c r="D3" i="2"/>
  <c r="A13" i="2"/>
  <c r="A11" i="2"/>
  <c r="A9" i="2"/>
  <c r="O11" i="1" l="1"/>
  <c r="O10" i="1"/>
  <c r="O9" i="1" l="1"/>
  <c r="O6" i="1" l="1"/>
  <c r="A3" i="2" s="1"/>
  <c r="O8" i="1"/>
  <c r="A7" i="2" s="1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<sst xmlns="http://schemas.openxmlformats.org/spreadsheetml/2006/main" count="74" uniqueCount="23">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</sst>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0.2769575938542016</c:v>
                </c:pt>
                <c:pt idx="1">
                  <c:v>0.29535582224222501</c:v>
                </c:pt>
                <c:pt idx="2">
                  <c:v>0.35073452941794198</c:v>
                </c:pt>
                <c:pt idx="3">
                  <c:v>0.27105701713653929</c:v>
                </c:pt>
                <c:pt idx="4">
                  <c:v>0.24977358957655313</c:v>
                </c:pt>
                <c:pt idx="5">
                  <c:v>0.40126579696732551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D-4B94-8F8A-73E8E112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14</c:v>
                </c:pt>
                <c:pt idx="1">
                  <c:v>4</c:v>
                </c:pt>
                <c:pt idx="2">
                  <c:v>29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7</c:v>
                </c:pt>
                <c:pt idx="9">
                  <c:v>5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0.77777777777777779</c:v>
                </c:pt>
                <c:pt idx="1">
                  <c:v>0.22222222222222221</c:v>
                </c:pt>
                <c:pt idx="2">
                  <c:v>0.93548387096774188</c:v>
                </c:pt>
                <c:pt idx="3">
                  <c:v>6.4516129032258063E-2</c:v>
                </c:pt>
                <c:pt idx="4">
                  <c:v>0.22222222222222221</c:v>
                </c:pt>
                <c:pt idx="5">
                  <c:v>0.77777777777777779</c:v>
                </c:pt>
                <c:pt idx="6">
                  <c:v>0.85</c:v>
                </c:pt>
                <c:pt idx="7">
                  <c:v>0.15</c:v>
                </c:pt>
                <c:pt idx="8">
                  <c:v>0.58333333333333337</c:v>
                </c:pt>
                <c:pt idx="9">
                  <c:v>0.41666666666666669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9-4249-B4C2-44756377E7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9-4249-B4C2-44756377E7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9-4249-B4C2-44756377E7C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9-4249-B4C2-44756377E7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9-4249-B4C2-44756377E7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C9-4249-B4C2-44756377E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0.31181549068255776</c:v>
                </c:pt>
                <c:pt idx="1">
                  <c:v>0.15495495495495495</c:v>
                </c:pt>
                <c:pt idx="2">
                  <c:v>0.30287255395638502</c:v>
                </c:pt>
                <c:pt idx="3">
                  <c:v>0.1863632123869042</c:v>
                </c:pt>
                <c:pt idx="4">
                  <c:v>0.28097669480814924</c:v>
                </c:pt>
                <c:pt idx="5">
                  <c:v>0.37066533930645429</c:v>
                </c:pt>
                <c:pt idx="6">
                  <c:v>0.25970052453955028</c:v>
                </c:pt>
                <c:pt idx="7">
                  <c:v>0.33541047518614381</c:v>
                </c:pt>
                <c:pt idx="8">
                  <c:v>0.30496185758822347</c:v>
                </c:pt>
                <c:pt idx="9">
                  <c:v>0.17251001436021465</c:v>
                </c:pt>
                <c:pt idx="10">
                  <c:v>0.40126579696732551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C9-4249-B4C2-44756377E7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Vigeo Eiris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6F7-4F49-854C-0CD6C240E8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0.3506566953406664</c:v>
                </c:pt>
                <c:pt idx="1">
                  <c:v>0.32883983563499253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B-4E19-AA39-2173518C23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5010591"/>
        <c:axId val="1165027391"/>
      </c:barChart>
      <c:catAx>
        <c:axId val="11650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027391"/>
        <c:crosses val="autoZero"/>
        <c:auto val="1"/>
        <c:lblAlgn val="ctr"/>
        <c:lblOffset val="100"/>
        <c:noMultiLvlLbl val="0"/>
      </c:catAx>
      <c:valAx>
        <c:axId val="1165027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16501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24848</xdr:colOff>
      <xdr:row>22</xdr:row>
      <xdr:rowOff>33130</xdr:rowOff>
    </xdr:from>
    <xdr:to>
      <xdr:col>12</xdr:col>
      <xdr:colOff>348697</xdr:colOff>
      <xdr:row>40</xdr:row>
      <xdr:rowOff>118648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5AD6A2-6519-4A24-A7FF-E8A0AC7E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0</xdr:row>
      <xdr:rowOff>90486</xdr:rowOff>
    </xdr:from>
    <xdr:to>
      <xdr:col>17</xdr:col>
      <xdr:colOff>342900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25</xdr:row>
      <xdr:rowOff>66675</xdr:rowOff>
    </xdr:from>
    <xdr:to>
      <xdr:col>17</xdr:col>
      <xdr:colOff>338138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247650</xdr:colOff>
      <xdr:row>15</xdr:row>
      <xdr:rowOff>104775</xdr:rowOff>
    </xdr:from>
    <xdr:to>
      <xdr:col>29</xdr:col>
      <xdr:colOff>33338</xdr:colOff>
      <xdr:row>39</xdr:row>
      <xdr:rowOff>33338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1830AD0-A561-4CAE-BBB0-7127704E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347662</xdr:colOff>
      <xdr:row>2</xdr:row>
      <xdr:rowOff>23811</xdr:rowOff>
    </xdr:from>
    <xdr:to>
      <xdr:col>19</xdr:col>
      <xdr:colOff>352425</xdr:colOff>
      <xdr:row>19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9C0963-190C-A90C-0DBA-75BF95707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religion.xlsx" TargetMode="External"/><Relationship Id="rId1" Type="http://schemas.openxmlformats.org/officeDocument/2006/relationships/externalLinkPath" Target="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religion_genre.xlsx" TargetMode="External"/><Relationship Id="rId1" Type="http://schemas.openxmlformats.org/officeDocument/2006/relationships/externalLinkPath" Target="E_religion_gen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genre.xlsx" TargetMode="External"/><Relationship Id="rId1" Type="http://schemas.openxmlformats.org/officeDocument/2006/relationships/externalLinkPath" Target="E_gen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age_genre.xlsx" TargetMode="External"/><Relationship Id="rId1" Type="http://schemas.openxmlformats.org/officeDocument/2006/relationships/externalLinkPath" Target="E_age_genr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age.xlsx" TargetMode="External"/><Relationship Id="rId1" Type="http://schemas.openxmlformats.org/officeDocument/2006/relationships/externalLinkPath" Target="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age_religion.xlsx" TargetMode="External"/><Relationship Id="rId1" Type="http://schemas.openxmlformats.org/officeDocument/2006/relationships/externalLinkPath" Target="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E%20-%20Environment\E_full.xlsx" TargetMode="External"/><Relationship Id="rId1" Type="http://schemas.openxmlformats.org/officeDocument/2006/relationships/externalLinkPath" Target="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/>
      <sheetData sheetId="1">
        <row r="4">
          <cell r="H4">
            <v>18</v>
          </cell>
        </row>
        <row r="5">
          <cell r="N5">
            <v>0.2769575938542016</v>
          </cell>
        </row>
        <row r="7">
          <cell r="H7">
            <v>14</v>
          </cell>
        </row>
        <row r="8">
          <cell r="K8">
            <v>0.31181549068255776</v>
          </cell>
        </row>
        <row r="9">
          <cell r="H9">
            <v>4</v>
          </cell>
        </row>
        <row r="10">
          <cell r="K10">
            <v>0.15495495495495495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ree"/>
      <sheetName val="Sheet1"/>
    </sheetNames>
    <sheetDataSet>
      <sheetData sheetId="0"/>
      <sheetData sheetId="1">
        <row r="5">
          <cell r="H5">
            <v>31</v>
          </cell>
          <cell r="N5">
            <v>0.29535582224222501</v>
          </cell>
        </row>
        <row r="8">
          <cell r="H8">
            <v>29</v>
          </cell>
          <cell r="K8">
            <v>0.30287255395638502</v>
          </cell>
        </row>
        <row r="10">
          <cell r="H10">
            <v>2</v>
          </cell>
          <cell r="K10">
            <v>0.1863632123869042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/>
      <sheetData sheetId="1">
        <row r="5">
          <cell r="H5">
            <v>9</v>
          </cell>
          <cell r="N5">
            <v>0.35073452941794198</v>
          </cell>
        </row>
        <row r="8">
          <cell r="H8">
            <v>2</v>
          </cell>
          <cell r="K8">
            <v>0.28097669480814924</v>
          </cell>
        </row>
        <row r="10">
          <cell r="H10">
            <v>7</v>
          </cell>
          <cell r="K10">
            <v>0.37066533930645429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o"/>
      <sheetName val="Sheet1"/>
    </sheetNames>
    <sheetDataSet>
      <sheetData sheetId="0"/>
      <sheetData sheetId="1">
        <row r="5">
          <cell r="H5">
            <v>20</v>
          </cell>
          <cell r="N5">
            <v>0.27105701713653929</v>
          </cell>
        </row>
        <row r="8">
          <cell r="H8">
            <v>17</v>
          </cell>
          <cell r="K8">
            <v>0.25970052453955028</v>
          </cell>
        </row>
        <row r="10">
          <cell r="H10">
            <v>3</v>
          </cell>
          <cell r="K10">
            <v>0.33541047518614381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 (2)"/>
      <sheetName val="Sheet1"/>
    </sheetNames>
    <sheetDataSet>
      <sheetData sheetId="0"/>
      <sheetData sheetId="1">
        <row r="5">
          <cell r="H5">
            <v>12</v>
          </cell>
          <cell r="N5">
            <v>0.24977358957655313</v>
          </cell>
        </row>
        <row r="8">
          <cell r="H8">
            <v>7</v>
          </cell>
          <cell r="K8">
            <v>0.30496185758822347</v>
          </cell>
        </row>
        <row r="10">
          <cell r="H10">
            <v>5</v>
          </cell>
          <cell r="K10">
            <v>0.17251001436021465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e"/>
      <sheetName val="Sheet1"/>
    </sheetNames>
    <sheetDataSet>
      <sheetData sheetId="0"/>
      <sheetData sheetId="1">
        <row r="5">
          <cell r="H5">
            <v>22</v>
          </cell>
          <cell r="N5">
            <v>0.40126579696732551</v>
          </cell>
        </row>
        <row r="8">
          <cell r="H8">
            <v>22</v>
          </cell>
          <cell r="K8">
            <v>0.40126579696732551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q_esg_audit"/>
      <sheetName val="Sheet1"/>
    </sheetNames>
    <sheetDataSet>
      <sheetData sheetId="0"/>
      <sheetData sheetId="1">
        <row r="5">
          <cell r="H5">
            <v>43</v>
          </cell>
          <cell r="N5">
            <v>0.34862722001920837</v>
          </cell>
        </row>
        <row r="8">
          <cell r="H8">
            <v>39</v>
          </cell>
          <cell r="K8">
            <v>0.3506566953406664</v>
          </cell>
        </row>
        <row r="10">
          <cell r="H10">
            <v>4</v>
          </cell>
          <cell r="K10">
            <v>0.32883983563499253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abSelected="1" topLeftCell="A6" zoomScale="115" zoomScaleNormal="115" workbookViewId="0">
      <selection activeCell="S16" sqref="R16:S16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[1]Sheet1!$H$4</f>
        <v>18</v>
      </c>
    </row>
    <row r="7" spans="14:15" x14ac:dyDescent="0.25">
      <c r="N7" t="s">
        <v>19</v>
      </c>
      <c r="O7">
        <f>[2]Sheet1!$H$5</f>
        <v>31</v>
      </c>
    </row>
    <row r="8" spans="14:15" x14ac:dyDescent="0.25">
      <c r="N8" t="s">
        <v>20</v>
      </c>
      <c r="O8">
        <f>[3]Sheet1!$H$5</f>
        <v>9</v>
      </c>
    </row>
    <row r="9" spans="14:15" x14ac:dyDescent="0.25">
      <c r="N9" t="s">
        <v>18</v>
      </c>
      <c r="O9">
        <f>[4]Sheet1!$H$5</f>
        <v>20</v>
      </c>
    </row>
    <row r="10" spans="14:15" x14ac:dyDescent="0.25">
      <c r="N10" t="s">
        <v>1</v>
      </c>
      <c r="O10">
        <f>[5]Sheet1!$H$5</f>
        <v>12</v>
      </c>
    </row>
    <row r="11" spans="14:15" x14ac:dyDescent="0.25">
      <c r="N11" t="s">
        <v>2</v>
      </c>
      <c r="O11">
        <f>[6]Sheet1!$H$5</f>
        <v>22</v>
      </c>
    </row>
    <row r="27" spans="14:15" x14ac:dyDescent="0.25">
      <c r="N27" t="s">
        <v>0</v>
      </c>
      <c r="O27" s="1">
        <f>'Vigeo Individual'!T3</f>
        <v>0.2769575938542016</v>
      </c>
    </row>
    <row r="28" spans="14:15" x14ac:dyDescent="0.25">
      <c r="N28" t="s">
        <v>19</v>
      </c>
      <c r="O28" s="1">
        <f>'Vigeo Individual'!T5</f>
        <v>0.29535582224222501</v>
      </c>
    </row>
    <row r="29" spans="14:15" x14ac:dyDescent="0.25">
      <c r="N29" t="s">
        <v>20</v>
      </c>
      <c r="O29" s="1">
        <f>'Vigeo Individual'!T7</f>
        <v>0.35073452941794198</v>
      </c>
    </row>
    <row r="30" spans="14:15" x14ac:dyDescent="0.25">
      <c r="N30" t="s">
        <v>18</v>
      </c>
      <c r="O30" s="1">
        <f>'Vigeo Individual'!T9</f>
        <v>0.27105701713653929</v>
      </c>
    </row>
    <row r="31" spans="14:15" x14ac:dyDescent="0.25">
      <c r="N31" t="s">
        <v>1</v>
      </c>
      <c r="O31" s="1">
        <f>'Vigeo Individual'!T11</f>
        <v>0.24977358957655313</v>
      </c>
    </row>
    <row r="32" spans="14:15" x14ac:dyDescent="0.25">
      <c r="N32" t="s">
        <v>2</v>
      </c>
      <c r="O32" s="1">
        <f>'Vigeo Individual'!T13</f>
        <v>0.40126579696732551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E1" zoomScale="85" zoomScaleNormal="85" workbookViewId="0">
      <selection activeCell="AC13" sqref="AC1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6" bestFit="1" customWidth="1"/>
    <col min="22" max="22" width="17.140625" bestFit="1" customWidth="1"/>
  </cols>
  <sheetData>
    <row r="3" spans="1:23" x14ac:dyDescent="0.25">
      <c r="A3">
        <f>'Vigeo Araña'!O6</f>
        <v>18</v>
      </c>
      <c r="B3" t="s">
        <v>0</v>
      </c>
      <c r="C3" t="s">
        <v>4</v>
      </c>
      <c r="D3">
        <f>[1]Sheet1!$H$7</f>
        <v>14</v>
      </c>
      <c r="T3" s="2">
        <f>[1]Sheet1!$N$5</f>
        <v>0.2769575938542016</v>
      </c>
      <c r="U3" t="s">
        <v>0</v>
      </c>
      <c r="V3" t="s">
        <v>4</v>
      </c>
      <c r="W3" s="2">
        <f>[1]Sheet1!$K$8</f>
        <v>0.31181549068255776</v>
      </c>
    </row>
    <row r="4" spans="1:23" x14ac:dyDescent="0.25">
      <c r="C4" t="s">
        <v>3</v>
      </c>
      <c r="D4">
        <f>[1]Sheet1!$H$9</f>
        <v>4</v>
      </c>
      <c r="F4">
        <f>SUM(D3:D4)</f>
        <v>18</v>
      </c>
      <c r="T4" s="2"/>
      <c r="V4" t="s">
        <v>3</v>
      </c>
      <c r="W4" s="2">
        <f>[1]Sheet1!$K$10</f>
        <v>0.15495495495495495</v>
      </c>
    </row>
    <row r="5" spans="1:23" x14ac:dyDescent="0.25">
      <c r="A5">
        <f>'Vigeo Araña'!O7</f>
        <v>31</v>
      </c>
      <c r="B5" t="s">
        <v>19</v>
      </c>
      <c r="C5" t="s">
        <v>6</v>
      </c>
      <c r="D5">
        <f>[2]Sheet1!$H$8</f>
        <v>29</v>
      </c>
      <c r="T5" s="2">
        <f>[2]Sheet1!$N$5</f>
        <v>0.29535582224222501</v>
      </c>
      <c r="U5" t="s">
        <v>19</v>
      </c>
      <c r="V5" t="s">
        <v>6</v>
      </c>
      <c r="W5" s="2">
        <f>[2]Sheet1!$K$8</f>
        <v>0.30287255395638502</v>
      </c>
    </row>
    <row r="6" spans="1:23" x14ac:dyDescent="0.25">
      <c r="C6" t="s">
        <v>5</v>
      </c>
      <c r="D6">
        <f>[2]Sheet1!$H$10</f>
        <v>2</v>
      </c>
      <c r="F6">
        <f>SUM(D5:D6)</f>
        <v>31</v>
      </c>
      <c r="T6" s="2"/>
      <c r="V6" t="s">
        <v>5</v>
      </c>
      <c r="W6" s="2">
        <f>[2]Sheet1!$K$10</f>
        <v>0.1863632123869042</v>
      </c>
    </row>
    <row r="7" spans="1:23" x14ac:dyDescent="0.25">
      <c r="A7">
        <f>'Vigeo Araña'!O8</f>
        <v>9</v>
      </c>
      <c r="B7" t="s">
        <v>20</v>
      </c>
      <c r="C7" t="s">
        <v>7</v>
      </c>
      <c r="D7">
        <f>[3]Sheet1!$H$8</f>
        <v>2</v>
      </c>
      <c r="T7" s="2">
        <f>[3]Sheet1!$N$5</f>
        <v>0.35073452941794198</v>
      </c>
      <c r="U7" t="s">
        <v>20</v>
      </c>
      <c r="V7" t="s">
        <v>7</v>
      </c>
      <c r="W7" s="2">
        <f>[3]Sheet1!$K$8</f>
        <v>0.28097669480814924</v>
      </c>
    </row>
    <row r="8" spans="1:23" x14ac:dyDescent="0.25">
      <c r="C8" t="s">
        <v>8</v>
      </c>
      <c r="D8">
        <f>[3]Sheet1!$H$10</f>
        <v>7</v>
      </c>
      <c r="F8">
        <f t="shared" ref="F8" si="0">SUM(D7:D8)</f>
        <v>9</v>
      </c>
      <c r="T8" s="2"/>
      <c r="V8" t="s">
        <v>8</v>
      </c>
      <c r="W8" s="2">
        <f>[3]Sheet1!$K$10</f>
        <v>0.37066533930645429</v>
      </c>
    </row>
    <row r="9" spans="1:23" x14ac:dyDescent="0.25">
      <c r="A9">
        <f>'Vigeo Araña'!O9</f>
        <v>20</v>
      </c>
      <c r="B9" t="s">
        <v>18</v>
      </c>
      <c r="C9" t="s">
        <v>9</v>
      </c>
      <c r="D9">
        <f>[4]Sheet1!$H$8</f>
        <v>17</v>
      </c>
      <c r="T9" s="2">
        <f>[4]Sheet1!$N$5</f>
        <v>0.27105701713653929</v>
      </c>
      <c r="U9" t="s">
        <v>18</v>
      </c>
      <c r="V9" t="s">
        <v>9</v>
      </c>
      <c r="W9" s="2">
        <f>[4]Sheet1!$K$8</f>
        <v>0.25970052453955028</v>
      </c>
    </row>
    <row r="10" spans="1:23" x14ac:dyDescent="0.25">
      <c r="C10" t="s">
        <v>10</v>
      </c>
      <c r="D10">
        <f>[4]Sheet1!$H$10</f>
        <v>3</v>
      </c>
      <c r="F10">
        <f t="shared" ref="F10" si="1">SUM(D9:D10)</f>
        <v>20</v>
      </c>
      <c r="T10" s="2"/>
      <c r="V10" t="s">
        <v>10</v>
      </c>
      <c r="W10" s="2">
        <f>[4]Sheet1!$K$10</f>
        <v>0.33541047518614381</v>
      </c>
    </row>
    <row r="11" spans="1:23" x14ac:dyDescent="0.25">
      <c r="A11">
        <f>'Vigeo Araña'!O10</f>
        <v>12</v>
      </c>
      <c r="B11" t="s">
        <v>1</v>
      </c>
      <c r="C11" t="s">
        <v>11</v>
      </c>
      <c r="D11">
        <f>[5]Sheet1!$H$8</f>
        <v>7</v>
      </c>
      <c r="T11" s="2">
        <f>[5]Sheet1!$N$5</f>
        <v>0.24977358957655313</v>
      </c>
      <c r="U11" t="s">
        <v>1</v>
      </c>
      <c r="V11" t="s">
        <v>11</v>
      </c>
      <c r="W11" s="2">
        <f>[5]Sheet1!$K$8</f>
        <v>0.30496185758822347</v>
      </c>
    </row>
    <row r="12" spans="1:23" x14ac:dyDescent="0.25">
      <c r="C12" t="s">
        <v>12</v>
      </c>
      <c r="D12">
        <f>[5]Sheet1!$H$10</f>
        <v>5</v>
      </c>
      <c r="F12">
        <f t="shared" ref="F12" si="2">SUM(D11:D12)</f>
        <v>12</v>
      </c>
      <c r="T12" s="2"/>
      <c r="V12" t="s">
        <v>12</v>
      </c>
      <c r="W12" s="2">
        <f>[5]Sheet1!$K$10</f>
        <v>0.17251001436021465</v>
      </c>
    </row>
    <row r="13" spans="1:23" x14ac:dyDescent="0.25">
      <c r="A13">
        <f>'Vigeo Araña'!O11</f>
        <v>22</v>
      </c>
      <c r="B13" t="s">
        <v>2</v>
      </c>
      <c r="C13" t="s">
        <v>13</v>
      </c>
      <c r="D13">
        <f>[6]Sheet1!$H$8</f>
        <v>22</v>
      </c>
      <c r="T13" s="2">
        <f>[6]Sheet1!$N$5</f>
        <v>0.40126579696732551</v>
      </c>
      <c r="U13" t="s">
        <v>2</v>
      </c>
      <c r="V13" t="s">
        <v>13</v>
      </c>
      <c r="W13" s="2">
        <f>[6]Sheet1!$K$8</f>
        <v>0.40126579696732551</v>
      </c>
    </row>
    <row r="14" spans="1:23" x14ac:dyDescent="0.25">
      <c r="C14" t="s">
        <v>14</v>
      </c>
      <c r="D14">
        <f>[6]Sheet1!$H$10</f>
        <v>0</v>
      </c>
      <c r="F14">
        <f t="shared" ref="F14" si="3">SUM(D13:D14)</f>
        <v>22</v>
      </c>
      <c r="V14" t="s">
        <v>14</v>
      </c>
      <c r="W14" s="2">
        <f>[6]Sheet1!$K$10</f>
        <v>0</v>
      </c>
    </row>
    <row r="29" spans="2:4" x14ac:dyDescent="0.25">
      <c r="B29" t="s">
        <v>0</v>
      </c>
      <c r="C29" t="s">
        <v>4</v>
      </c>
      <c r="D29" s="1">
        <f>D3/$F$4</f>
        <v>0.77777777777777779</v>
      </c>
    </row>
    <row r="30" spans="2:4" x14ac:dyDescent="0.25">
      <c r="C30" t="s">
        <v>3</v>
      </c>
      <c r="D30" s="1">
        <f t="shared" ref="D30" si="4">D4/$F$4</f>
        <v>0.22222222222222221</v>
      </c>
    </row>
    <row r="31" spans="2:4" x14ac:dyDescent="0.25">
      <c r="B31" t="s">
        <v>19</v>
      </c>
      <c r="C31" t="s">
        <v>6</v>
      </c>
      <c r="D31" s="1">
        <f>D5/$F$6</f>
        <v>0.93548387096774188</v>
      </c>
    </row>
    <row r="32" spans="2:4" x14ac:dyDescent="0.25">
      <c r="C32" t="s">
        <v>5</v>
      </c>
      <c r="D32" s="1">
        <f>D6/$F$6</f>
        <v>6.4516129032258063E-2</v>
      </c>
    </row>
    <row r="33" spans="2:4" x14ac:dyDescent="0.25">
      <c r="B33" t="s">
        <v>20</v>
      </c>
      <c r="C33" t="s">
        <v>7</v>
      </c>
      <c r="D33" s="1">
        <f>D7/$F$8</f>
        <v>0.22222222222222221</v>
      </c>
    </row>
    <row r="34" spans="2:4" x14ac:dyDescent="0.25">
      <c r="C34" t="s">
        <v>8</v>
      </c>
      <c r="D34" s="1">
        <f>D8/$F$8</f>
        <v>0.77777777777777779</v>
      </c>
    </row>
    <row r="35" spans="2:4" x14ac:dyDescent="0.25">
      <c r="B35" t="s">
        <v>18</v>
      </c>
      <c r="C35" t="s">
        <v>9</v>
      </c>
      <c r="D35" s="1">
        <f>D9/$F$10</f>
        <v>0.85</v>
      </c>
    </row>
    <row r="36" spans="2:4" x14ac:dyDescent="0.25">
      <c r="C36" t="s">
        <v>10</v>
      </c>
      <c r="D36" s="1">
        <f>D10/$F$10</f>
        <v>0.15</v>
      </c>
    </row>
    <row r="37" spans="2:4" x14ac:dyDescent="0.25">
      <c r="B37" t="s">
        <v>1</v>
      </c>
      <c r="C37" t="s">
        <v>11</v>
      </c>
      <c r="D37" s="1">
        <f>D11/$F$12</f>
        <v>0.58333333333333337</v>
      </c>
    </row>
    <row r="38" spans="2:4" x14ac:dyDescent="0.25">
      <c r="C38" t="s">
        <v>12</v>
      </c>
      <c r="D38" s="1">
        <f>D12/$F$12</f>
        <v>0.41666666666666669</v>
      </c>
    </row>
    <row r="39" spans="2:4" x14ac:dyDescent="0.25">
      <c r="B39" t="s">
        <v>2</v>
      </c>
      <c r="C39" t="s">
        <v>13</v>
      </c>
      <c r="D39" s="1">
        <f>D13/$F$14</f>
        <v>1</v>
      </c>
    </row>
    <row r="40" spans="2:4" x14ac:dyDescent="0.25">
      <c r="C40" t="s">
        <v>14</v>
      </c>
      <c r="D40" s="1">
        <f>D14/$F$14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workbookViewId="0">
      <selection activeCell="V13" sqref="V13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43</v>
      </c>
    </row>
    <row r="4" spans="2:3" x14ac:dyDescent="0.25">
      <c r="B4" t="s">
        <v>15</v>
      </c>
      <c r="C4">
        <f>[7]Sheet1!$H$8</f>
        <v>39</v>
      </c>
    </row>
    <row r="5" spans="2:3" x14ac:dyDescent="0.25">
      <c r="B5" t="s">
        <v>16</v>
      </c>
      <c r="C5">
        <f>[7]Sheet1!$H$10</f>
        <v>4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[7]Sheet1!$N$5</f>
        <v>0.34862722001920837</v>
      </c>
    </row>
    <row r="12" spans="2:3" x14ac:dyDescent="0.25">
      <c r="B12" t="s">
        <v>15</v>
      </c>
      <c r="C12" s="2">
        <f>[7]Sheet1!$K$8</f>
        <v>0.3506566953406664</v>
      </c>
    </row>
    <row r="13" spans="2:3" x14ac:dyDescent="0.25">
      <c r="B13" t="s">
        <v>16</v>
      </c>
      <c r="C13" s="2">
        <f>[7]Sheet1!$K$10</f>
        <v>0.32883983563499253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2026-04-28T11:41:29Z</dcterms:modified>
</cp:coreProperties>
</file>