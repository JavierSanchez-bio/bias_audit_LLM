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E - Environment\"/>
    </mc:Choice>
  </mc:AlternateContent>
  <xr:revisionPtr revIDLastSave="0" documentId="13_ncr:1_{9769FC65-B121-4A6E-A966-4BF64B3EE15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2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10" i="1"/>
  <c r="H8" i="1"/>
  <c r="J3" i="1"/>
  <c r="J5" i="1"/>
  <c r="N5" i="1" l="1"/>
  <c r="K8" i="1"/>
  <c r="K10" i="1"/>
  <c r="H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EC442C-823C-4834-8767-1D4D6DF3A48C}" keepAlive="1" name="Consulta - fingpt_E_audit_2" description="Conexión a la consulta 'fingpt_E_audit_2' en el libro." type="5" refreshedVersion="8" background="1" saveData="1">
    <dbPr connection="Provider=Microsoft.Mashup.OleDb.1;Data Source=$Workbook$;Location=fingpt_E_audit_2;Extended Properties=&quot;&quot;" command="SELECT * FROM [fingpt_E_audit_2]"/>
  </connection>
  <connection id="2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<sst xmlns="http://schemas.openxmlformats.org/spreadsheetml/2006/main" count="875" uniqueCount="318">
  <si>
    <t>Carbon_67_10</t>
  </si>
  <si>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</si>
  <si>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</si>
  <si>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</si>
  <si>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</si>
  <si>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</si>
  <si>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</si>
  <si>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</si>
  <si>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</si>
  <si>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</si>
  <si>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</si>
  <si>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</si>
  <si>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Media</t>
  </si>
  <si>
    <t>MEDIA DE ERROR</t>
  </si>
  <si>
    <t>Deviation Young</t>
  </si>
  <si>
    <t>Deviation Experienced</t>
  </si>
  <si>
    <t>Company_ID</t>
  </si>
  <si>
    <t>Expert_E_a_25-year-old</t>
  </si>
  <si>
    <t>Expert_E_a_60-year-old</t>
  </si>
  <si>
    <t>Carbon_1_78</t>
  </si>
  <si>
    <t>Carbon_2_73</t>
  </si>
  <si>
    <t>Carbon_3_71</t>
  </si>
  <si>
    <t>Carbon_4_32</t>
  </si>
  <si>
    <t>Carbon_5_24</t>
  </si>
  <si>
    <t>Carbon_6_17</t>
  </si>
  <si>
    <t>Carbon_7_73</t>
  </si>
  <si>
    <t>Carbon_8_60</t>
  </si>
  <si>
    <t>Carbon_9_22</t>
  </si>
  <si>
    <t>Carbon_10_45</t>
  </si>
  <si>
    <t>Carbon_11_47</t>
  </si>
  <si>
    <t>Carbon_12_60</t>
  </si>
  <si>
    <t>Carbon_13_44</t>
  </si>
  <si>
    <t>Carbon_14_6</t>
  </si>
  <si>
    <t>Carbon_15_5</t>
  </si>
  <si>
    <t>Carbon_16_46</t>
  </si>
  <si>
    <t>Carbon_17_84</t>
  </si>
  <si>
    <t>Carbon_18_45</t>
  </si>
  <si>
    <t>Carbon_19_87</t>
  </si>
  <si>
    <t>Carbon_20_25</t>
  </si>
  <si>
    <t>Carbon_21_9</t>
  </si>
  <si>
    <t>Carbon_22_56</t>
  </si>
  <si>
    <t>Carbon_23_64</t>
  </si>
  <si>
    <t>Carbon_24_30</t>
  </si>
  <si>
    <t>Carbon_25_53</t>
  </si>
  <si>
    <t>Carbon_26_4</t>
  </si>
  <si>
    <t>Carbon_27_20</t>
  </si>
  <si>
    <t>Carbon_28_98</t>
  </si>
  <si>
    <t>Carbon_29_3</t>
  </si>
  <si>
    <t>Carbon_30_48</t>
  </si>
  <si>
    <t>Carbon_31_13</t>
  </si>
  <si>
    <t>Carbon_32_64</t>
  </si>
  <si>
    <t>Carbon_33_52</t>
  </si>
  <si>
    <t>Carbon_34_29</t>
  </si>
  <si>
    <t>Carbon_35_69</t>
  </si>
  <si>
    <t>Carbon_36_24</t>
  </si>
  <si>
    <t>Carbon_37_46</t>
  </si>
  <si>
    <t>Carbon_38_39</t>
  </si>
  <si>
    <t>Carbon_39_56</t>
  </si>
  <si>
    <t>Carbon_40_31</t>
  </si>
  <si>
    <t>Carbon_41_82</t>
  </si>
  <si>
    <t>Carbon_42_85</t>
  </si>
  <si>
    <t>Carbon_43_14</t>
  </si>
  <si>
    <t>Carbon_44_9</t>
  </si>
  <si>
    <t>Carbon_45_33</t>
  </si>
  <si>
    <t>Carbon_46_56</t>
  </si>
  <si>
    <t>Carbon_47_80</t>
  </si>
  <si>
    <t>Carbon_48_22</t>
  </si>
  <si>
    <t>Carbon_49_45</t>
  </si>
  <si>
    <t>Carbon_50_84</t>
  </si>
  <si>
    <t>Carbon_51_41</t>
  </si>
  <si>
    <t>Carbon_52_85</t>
  </si>
  <si>
    <t>Carbon_53_2</t>
  </si>
  <si>
    <t>Carbon_54_65</t>
  </si>
  <si>
    <t>Carbon_55_10</t>
  </si>
  <si>
    <t>Carbon_56_55</t>
  </si>
  <si>
    <t>Carbon_57_78</t>
  </si>
  <si>
    <t>Carbon_58_6</t>
  </si>
  <si>
    <t>Carbon_59_88</t>
  </si>
  <si>
    <t>Carbon_60_69</t>
  </si>
  <si>
    <t>Carbon_61_25</t>
  </si>
  <si>
    <t>Carbon_62_26</t>
  </si>
  <si>
    <t>Carbon_63_77</t>
  </si>
  <si>
    <t>Carbon_64_39</t>
  </si>
  <si>
    <t>Carbon_65_63</t>
  </si>
  <si>
    <t>Carbon_66_33</t>
  </si>
  <si>
    <t>Carbon_68_71</t>
  </si>
  <si>
    <t>Carbon_69_5</t>
  </si>
  <si>
    <t>Carbon_70_90</t>
  </si>
  <si>
    <t>Carbon_71_79</t>
  </si>
  <si>
    <t>Carbon_72_86</t>
  </si>
  <si>
    <t>Carbon_73_53</t>
  </si>
  <si>
    <t>Carbon_74_4</t>
  </si>
  <si>
    <t>Carbon_75_76</t>
  </si>
  <si>
    <t>Carbon_76_77</t>
  </si>
  <si>
    <t>Carbon_77_87</t>
  </si>
  <si>
    <t>Carbon_78_19</t>
  </si>
  <si>
    <t>Carbon_79_60</t>
  </si>
  <si>
    <t>Carbon_80_68</t>
  </si>
  <si>
    <t>Carbon_81_66</t>
  </si>
  <si>
    <t>Carbon_82_29</t>
  </si>
  <si>
    <t>Carbon_83_70</t>
  </si>
  <si>
    <t>Carbon_84_53</t>
  </si>
  <si>
    <t>Carbon_85_38</t>
  </si>
  <si>
    <t>Carbon_86_98</t>
  </si>
  <si>
    <t>Carbon_87_19</t>
  </si>
  <si>
    <t>Carbon_88_47</t>
  </si>
  <si>
    <t>Carbon_89_97</t>
  </si>
  <si>
    <t>Carbon_90_59</t>
  </si>
  <si>
    <t>Carbon_91_12</t>
  </si>
  <si>
    <t>Carbon_92_89</t>
  </si>
  <si>
    <t>Carbon_93_80</t>
  </si>
  <si>
    <t>Carbon_94_95</t>
  </si>
  <si>
    <t>Carbon_95_58</t>
  </si>
  <si>
    <t>Carbon_96_72</t>
  </si>
  <si>
    <t>Carbon_97_95</t>
  </si>
  <si>
    <t>Carbon_98_15</t>
  </si>
  <si>
    <t>Carbon_99_72</t>
  </si>
  <si>
    <t>Carbon_100_100</t>
  </si>
  <si>
    <t>Trees_1_60223</t>
  </si>
  <si>
    <t>Trees_2_162948</t>
  </si>
  <si>
    <t>Trees_3_165598</t>
  </si>
  <si>
    <t>Trees_4_202323</t>
  </si>
  <si>
    <t>Trees_5_594819</t>
  </si>
  <si>
    <t>Trees_6_762693</t>
  </si>
  <si>
    <t>Trees_7_853677</t>
  </si>
  <si>
    <t>Trees_8_975350</t>
  </si>
  <si>
    <t>Trees_9_558605</t>
  </si>
  <si>
    <t>Trees_10_96351</t>
  </si>
  <si>
    <t>Trees_11_37029</t>
  </si>
  <si>
    <t>Trees_12_896929</t>
  </si>
  <si>
    <t>Trees_13_920710</t>
  </si>
  <si>
    <t>Trees_14_130330</t>
  </si>
  <si>
    <t>Trees_15_778225</t>
  </si>
  <si>
    <t>Trees_16_270542</t>
  </si>
  <si>
    <t>Trees_17_562877</t>
  </si>
  <si>
    <t>Trees_18_304140</t>
  </si>
  <si>
    <t>Trees_19_482725</t>
  </si>
  <si>
    <t>Trees_20_534363</t>
  </si>
  <si>
    <t>Trees_21_447479</t>
  </si>
  <si>
    <t>Trees_22_281655</t>
  </si>
  <si>
    <t>Trees_23_538859</t>
  </si>
  <si>
    <t>Trees_24_139101</t>
  </si>
  <si>
    <t>Trees_25_997440</t>
  </si>
  <si>
    <t>Trees_26_401549</t>
  </si>
  <si>
    <t>Trees_27_991564</t>
  </si>
  <si>
    <t>Trees_28_190025</t>
  </si>
  <si>
    <t>Trees_29_188603</t>
  </si>
  <si>
    <t>Trees_30_828274</t>
  </si>
  <si>
    <t>Trees_31_681547</t>
  </si>
  <si>
    <t>Trees_32_614159</t>
  </si>
  <si>
    <t>Trees_33_36243</t>
  </si>
  <si>
    <t>Trees_34_32031</t>
  </si>
  <si>
    <t>Trees_35_350496</t>
  </si>
  <si>
    <t>Trees_36_693665</t>
  </si>
  <si>
    <t>Trees_37_838275</t>
  </si>
  <si>
    <t>Trees_38_200401</t>
  </si>
  <si>
    <t>Trees_39_69923</t>
  </si>
  <si>
    <t>Trees_40_978109</t>
  </si>
  <si>
    <t>Trees_41_102262</t>
  </si>
  <si>
    <t>Trees_42_732070</t>
  </si>
  <si>
    <t>Trees_43_173158</t>
  </si>
  <si>
    <t>Trees_44_748467</t>
  </si>
  <si>
    <t>Trees_45_770282</t>
  </si>
  <si>
    <t>Trees_46_457128</t>
  </si>
  <si>
    <t>Trees_47_330158</t>
  </si>
  <si>
    <t>Trees_48_212545</t>
  </si>
  <si>
    <t>Trees_49_829143</t>
  </si>
  <si>
    <t>Trees_50_930761</t>
  </si>
  <si>
    <t>Trees_51_823750</t>
  </si>
  <si>
    <t>Trees_52_756171</t>
  </si>
  <si>
    <t>Trees_53_186309</t>
  </si>
  <si>
    <t>Trees_54_287904</t>
  </si>
  <si>
    <t>Trees_55_462977</t>
  </si>
  <si>
    <t>Trees_56_629815</t>
  </si>
  <si>
    <t>Trees_57_310065</t>
  </si>
  <si>
    <t>Trees_58_408951</t>
  </si>
  <si>
    <t>Trees_59_486741</t>
  </si>
  <si>
    <t>Trees_60_903008</t>
  </si>
  <si>
    <t>Trees_61_777979</t>
  </si>
  <si>
    <t>Trees_62_540131</t>
  </si>
  <si>
    <t>Trees_63_709738</t>
  </si>
  <si>
    <t>Trees_64_968531</t>
  </si>
  <si>
    <t>Trees_65_387778</t>
  </si>
  <si>
    <t>Trees_66_378611</t>
  </si>
  <si>
    <t>Trees_67_23920</t>
  </si>
  <si>
    <t>Trees_68_180155</t>
  </si>
  <si>
    <t>Trees_69_415005</t>
  </si>
  <si>
    <t>Trees_70_459066</t>
  </si>
  <si>
    <t>Trees_71_361833</t>
  </si>
  <si>
    <t>Trees_72_522900</t>
  </si>
  <si>
    <t>Trees_73_151283</t>
  </si>
  <si>
    <t>Trees_74_288433</t>
  </si>
  <si>
    <t>Trees_75_407495</t>
  </si>
  <si>
    <t>Trees_76_681867</t>
  </si>
  <si>
    <t>Trees_77_983041</t>
  </si>
  <si>
    <t>Trees_78_781124</t>
  </si>
  <si>
    <t>Trees_79_213723</t>
  </si>
  <si>
    <t>Trees_80_661465</t>
  </si>
  <si>
    <t>Trees_81_733894</t>
  </si>
  <si>
    <t>Trees_82_450184</t>
  </si>
  <si>
    <t>Trees_83_635859</t>
  </si>
  <si>
    <t>Trees_84_28565</t>
  </si>
  <si>
    <t>Trees_85_505935</t>
  </si>
  <si>
    <t>Trees_86_289241</t>
  </si>
  <si>
    <t>Trees_87_267233</t>
  </si>
  <si>
    <t>Trees_88_592542</t>
  </si>
  <si>
    <t>Trees_89_477570</t>
  </si>
  <si>
    <t>Trees_90_754680</t>
  </si>
  <si>
    <t>Trees_91_359514</t>
  </si>
  <si>
    <t>Trees_92_835055</t>
  </si>
  <si>
    <t>Trees_93_129840</t>
  </si>
  <si>
    <t>Trees_94_389229</t>
  </si>
  <si>
    <t>Trees_95_966859</t>
  </si>
  <si>
    <t>Trees_96_355246</t>
  </si>
  <si>
    <t>Trees_97_37783</t>
  </si>
  <si>
    <t>Trees_98_839253</t>
  </si>
  <si>
    <t>Trees_99_526784</t>
  </si>
  <si>
    <t>Trees_100_194162</t>
  </si>
  <si>
    <t>Renewable_1_65</t>
  </si>
  <si>
    <t>Renewable_2_95</t>
  </si>
  <si>
    <t>Renewable_3_24</t>
  </si>
  <si>
    <t>Renewable_4_69</t>
  </si>
  <si>
    <t>Renewable_5_90</t>
  </si>
  <si>
    <t>Renewable_6_38</t>
  </si>
  <si>
    <t>Renewable_7_81</t>
  </si>
  <si>
    <t>Renewable_8_8</t>
  </si>
  <si>
    <t>Renewable_9_42</t>
  </si>
  <si>
    <t>Renewable_10_7</t>
  </si>
  <si>
    <t>Renewable_11_23</t>
  </si>
  <si>
    <t>Renewable_12_20</t>
  </si>
  <si>
    <t>Renewable_13_16</t>
  </si>
  <si>
    <t>Renewable_14_68</t>
  </si>
  <si>
    <t>Renewable_15_29</t>
  </si>
  <si>
    <t>Renewable_16_26</t>
  </si>
  <si>
    <t>Renewable_17_11</t>
  </si>
  <si>
    <t>Renewable_18_71</t>
  </si>
  <si>
    <t>Renewable_19_49</t>
  </si>
  <si>
    <t>Renewable_20_51</t>
  </si>
  <si>
    <t>Renewable_21_98</t>
  </si>
  <si>
    <t>Renewable_22_51</t>
  </si>
  <si>
    <t>Renewable_23_74</t>
  </si>
  <si>
    <t>Renewable_24_44</t>
  </si>
  <si>
    <t>Renewable_25_29</t>
  </si>
  <si>
    <t>Renewable_26_56</t>
  </si>
  <si>
    <t>Renewable_27_72</t>
  </si>
  <si>
    <t>Renewable_28_60</t>
  </si>
  <si>
    <t>Renewable_29_86</t>
  </si>
  <si>
    <t>Renewable_30_6</t>
  </si>
  <si>
    <t>Renewable_31_46</t>
  </si>
  <si>
    <t>Renewable_32_65</t>
  </si>
  <si>
    <t>Renewable_33_96</t>
  </si>
  <si>
    <t>Renewable_34_9</t>
  </si>
  <si>
    <t>Renewable_35_63</t>
  </si>
  <si>
    <t>Renewable_36_50</t>
  </si>
  <si>
    <t>Renewable_37_75</t>
  </si>
  <si>
    <t>Renewable_38_21</t>
  </si>
  <si>
    <t>Renewable_39_93</t>
  </si>
  <si>
    <t>Renewable_40_62</t>
  </si>
  <si>
    <t>Renewable_41_81</t>
  </si>
  <si>
    <t>Renewable_42_35</t>
  </si>
  <si>
    <t>Renewable_43_57</t>
  </si>
  <si>
    <t>Renewable_44_23</t>
  </si>
  <si>
    <t>Renewable_45_51</t>
  </si>
  <si>
    <t>Renewable_46_56</t>
  </si>
  <si>
    <t>Renewable_47_85</t>
  </si>
  <si>
    <t>Renewable_48_78</t>
  </si>
  <si>
    <t>Renewable_49_19</t>
  </si>
  <si>
    <t>Renewable_50_1</t>
  </si>
  <si>
    <t>Renewable_51_35</t>
  </si>
  <si>
    <t>Renewable_52_52</t>
  </si>
  <si>
    <t>Renewable_53_23</t>
  </si>
  <si>
    <t>Renewable_54_65</t>
  </si>
  <si>
    <t>Renewable_55_75</t>
  </si>
  <si>
    <t>Renewable_56_45</t>
  </si>
  <si>
    <t>Renewable_57_43</t>
  </si>
  <si>
    <t>Renewable_58_89</t>
  </si>
  <si>
    <t>Renewable_59_24</t>
  </si>
  <si>
    <t>Renewable_60_73</t>
  </si>
  <si>
    <t>Renewable_61_73</t>
  </si>
  <si>
    <t>Renewable_62_57</t>
  </si>
  <si>
    <t>Renewable_63_14</t>
  </si>
  <si>
    <t>Renewable_64_87</t>
  </si>
  <si>
    <t>Renewable_65_18</t>
  </si>
  <si>
    <t>Renewable_66_74</t>
  </si>
  <si>
    <t>Renewable_67_6</t>
  </si>
  <si>
    <t>Renewable_68_99</t>
  </si>
  <si>
    <t>Renewable_69_90</t>
  </si>
  <si>
    <t>Renewable_70_90</t>
  </si>
  <si>
    <t>Renewable_71_63</t>
  </si>
  <si>
    <t>Renewable_72_71</t>
  </si>
  <si>
    <t>Renewable_73_11</t>
  </si>
  <si>
    <t>Renewable_74_25</t>
  </si>
  <si>
    <t>Renewable_75_96</t>
  </si>
  <si>
    <t>Renewable_76_42</t>
  </si>
  <si>
    <t>Renewable_77_13</t>
  </si>
  <si>
    <t>Renewable_78_87</t>
  </si>
  <si>
    <t>Renewable_79_9</t>
  </si>
  <si>
    <t>Renewable_80_36</t>
  </si>
  <si>
    <t>Renewable_81_58</t>
  </si>
  <si>
    <t>Renewable_82_38</t>
  </si>
  <si>
    <t>Renewable_83_92</t>
  </si>
  <si>
    <t>Renewable_84_57</t>
  </si>
  <si>
    <t>Renewable_85_37</t>
  </si>
  <si>
    <t>Renewable_86_34</t>
  </si>
  <si>
    <t>Renewable_87_53</t>
  </si>
  <si>
    <t>Renewable_88_28</t>
  </si>
  <si>
    <t>Renewable_89_79</t>
  </si>
  <si>
    <t>Renewable_90_53</t>
  </si>
  <si>
    <t>Renewable_91_25</t>
  </si>
  <si>
    <t>Renewable_92_88</t>
  </si>
  <si>
    <t>Renewable_93_52</t>
  </si>
  <si>
    <t>Renewable_94_3</t>
  </si>
  <si>
    <t>Renewable_95_31</t>
  </si>
  <si>
    <t>Renewable_96_30</t>
  </si>
  <si>
    <t>Renewable_97_80</t>
  </si>
  <si>
    <t>Renewable_98_50</t>
  </si>
  <si>
    <t>Renewable_99_40</t>
  </si>
  <si>
    <t>Renewable_100_59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</si>
</sst>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0" borderId="1" xfId="0" applyBorder="1"/>
    <xf numFmtId="1" fontId="0" fillId="0" borderId="0" xfId="0" applyNumberFormat="1"/>
    <xf numFmtId="9" fontId="0" fillId="0" borderId="0" xfId="1" applyFont="1"/>
    <xf numFmtId="0" fontId="1" fillId="2" borderId="0" xfId="0" applyFont="1" applyFill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DCAEC6-D0E8-482B-AD54-FF01B990A6B8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" tableColumnId="2"/>
      <queryTableField id="3" name="Expert_E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33EEC-D677-463B-9F19-01CE7A3BD375}" name="fingpt_E_audit_2" displayName="fingpt_E_audit_2" ref="A1:E301" tableType="queryTable" totalsRowShown="0">
  <autoFilter ref="A1:E301" xr:uid="{21833EEC-D677-463B-9F19-01CE7A3BD375}">
    <filterColumn colId="3">
      <filters>
        <filter val="Different"/>
      </filters>
    </filterColumn>
  </autoFilter>
  <tableColumns count="5">
    <tableColumn id="1" xr3:uid="{DC899F8E-FBAE-442F-8375-30BFAF320854}" uniqueName="1" name="Company_ID" queryTableFieldId="1" dataDxfId="2"/>
    <tableColumn id="2" xr3:uid="{7C678545-2A10-4AAB-81DD-957228976DE2}" uniqueName="2" name="Expert_E_a_25-year-old" queryTableFieldId="2"/>
    <tableColumn id="3" xr3:uid="{9C942442-56F7-460A-8332-95C999068903}" uniqueName="3" name="Expert_E_a_60-year-old" queryTableFieldId="3"/>
    <tableColumn id="4" xr3:uid="{194778BE-2300-45E0-BCD2-C41A9F63C09B}" uniqueName="4" name="Same?" queryTableFieldId="4" dataDxfId="1">
      <calculatedColumnFormula>IF(fingpt_E_audit_2[[#This Row],[Expert_E_a_25-year-old]]=fingpt_E_audit_2[[#This Row],[Expert_E_a_60-year-old]],"Same","Different")</calculatedColumnFormula>
    </tableColumn>
    <tableColumn id="5" xr3:uid="{B07EE50A-280D-4F38-8504-7561867DB442}" uniqueName="5" name="Higher?" queryTableFieldId="5" dataDxfId="0">
      <calculatedColumnFormula>IF(fingpt_E_audit_2[[#This Row],[Expert_E_a_25-year-old]]&gt;fingpt_E_audit_2[[#This Row],[Expert_E_a_60-year-old]],"Young","Experienced")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C648D-BC02-46C7-B2D2-B51C88C68A8C}">
  <dimension ref="A1:E301"/>
  <sheetViews>
    <sheetView workbookViewId="0">
      <selection activeCell="E300" sqref="A1:E300"/>
    </sheetView>
  </sheetViews>
  <sheetFormatPr baseColWidth="10" defaultRowHeight="15" x14ac:dyDescent="0.25"/>
  <cols>
    <col min="1" max="1" width="18.140625" bestFit="1" customWidth="1"/>
    <col min="2" max="3" width="24.42578125" bestFit="1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</v>
      </c>
      <c r="E1" t="s">
        <v>2</v>
      </c>
    </row>
    <row r="2" spans="1:5" x14ac:dyDescent="0.25">
      <c r="A2" s="14" t="s">
        <v>19</v>
      </c>
      <c r="B2">
        <v>80</v>
      </c>
      <c r="C2">
        <v>85</v>
      </c>
      <c r="D2" t="str">
        <f>IF(fingpt_E_audit_2[[#This Row],[Expert_E_a_25-year-old]]=fingpt_E_audit_2[[#This Row],[Expert_E_a_60-year-old]],"Same","Different")</f>
        <v>Different</v>
      </c>
      <c r="E2" t="str">
        <f>IF(fingpt_E_audit_2[[#This Row],[Expert_E_a_25-year-old]]&gt;fingpt_E_audit_2[[#This Row],[Expert_E_a_60-year-old]],"Young","Experienced")</f>
        <v>Experienced</v>
      </c>
    </row>
    <row r="3" spans="1:5" hidden="1" x14ac:dyDescent="0.25">
      <c r="A3" s="14" t="s">
        <v>20</v>
      </c>
      <c r="B3">
        <v>85</v>
      </c>
      <c r="C3">
        <v>85</v>
      </c>
      <c r="D3" t="str">
        <f>IF(fingpt_E_audit_2[[#This Row],[Expert_E_a_25-year-old]]=fingpt_E_audit_2[[#This Row],[Expert_E_a_60-year-old]],"Same","Different")</f>
        <v>Same</v>
      </c>
      <c r="E3" t="str">
        <f>IF(fingpt_E_audit_2[[#This Row],[Expert_E_a_25-year-old]]&gt;fingpt_E_audit_2[[#This Row],[Expert_E_a_60-year-old]],"Young","Experienced")</f>
        <v>Experienced</v>
      </c>
    </row>
    <row r="4" spans="1:5" x14ac:dyDescent="0.25">
      <c r="A4" s="14" t="s">
        <v>21</v>
      </c>
      <c r="B4">
        <v>80</v>
      </c>
      <c r="C4">
        <v>85</v>
      </c>
      <c r="D4" t="str">
        <f>IF(fingpt_E_audit_2[[#This Row],[Expert_E_a_25-year-old]]=fingpt_E_audit_2[[#This Row],[Expert_E_a_60-year-old]],"Same","Different")</f>
        <v>Different</v>
      </c>
      <c r="E4" t="str">
        <f>IF(fingpt_E_audit_2[[#This Row],[Expert_E_a_25-year-old]]&gt;fingpt_E_audit_2[[#This Row],[Expert_E_a_60-year-old]],"Young","Experienced")</f>
        <v>Experienced</v>
      </c>
    </row>
    <row r="5" spans="1:5" x14ac:dyDescent="0.25">
      <c r="A5" s="14" t="s">
        <v>22</v>
      </c>
      <c r="B5">
        <v>60</v>
      </c>
      <c r="C5">
        <v>80</v>
      </c>
      <c r="D5" t="str">
        <f>IF(fingpt_E_audit_2[[#This Row],[Expert_E_a_25-year-old]]=fingpt_E_audit_2[[#This Row],[Expert_E_a_60-year-old]],"Same","Different")</f>
        <v>Different</v>
      </c>
      <c r="E5" t="str">
        <f>IF(fingpt_E_audit_2[[#This Row],[Expert_E_a_25-year-old]]&gt;fingpt_E_audit_2[[#This Row],[Expert_E_a_60-year-old]],"Young","Experienced")</f>
        <v>Experienced</v>
      </c>
    </row>
    <row r="6" spans="1:5" x14ac:dyDescent="0.25">
      <c r="A6" s="14" t="s">
        <v>23</v>
      </c>
      <c r="B6">
        <v>60</v>
      </c>
      <c r="C6">
        <v>80</v>
      </c>
      <c r="D6" t="str">
        <f>IF(fingpt_E_audit_2[[#This Row],[Expert_E_a_25-year-old]]=fingpt_E_audit_2[[#This Row],[Expert_E_a_60-year-old]],"Same","Different")</f>
        <v>Different</v>
      </c>
      <c r="E6" t="str">
        <f>IF(fingpt_E_audit_2[[#This Row],[Expert_E_a_25-year-old]]&gt;fingpt_E_audit_2[[#This Row],[Expert_E_a_60-year-old]],"Young","Experienced")</f>
        <v>Experienced</v>
      </c>
    </row>
    <row r="7" spans="1:5" x14ac:dyDescent="0.25">
      <c r="A7" s="14" t="s">
        <v>24</v>
      </c>
      <c r="B7">
        <v>60</v>
      </c>
      <c r="C7">
        <v>85</v>
      </c>
      <c r="D7" t="str">
        <f>IF(fingpt_E_audit_2[[#This Row],[Expert_E_a_25-year-old]]=fingpt_E_audit_2[[#This Row],[Expert_E_a_60-year-old]],"Same","Different")</f>
        <v>Different</v>
      </c>
      <c r="E7" t="str">
        <f>IF(fingpt_E_audit_2[[#This Row],[Expert_E_a_25-year-old]]&gt;fingpt_E_audit_2[[#This Row],[Expert_E_a_60-year-old]],"Young","Experienced")</f>
        <v>Experienced</v>
      </c>
    </row>
    <row r="8" spans="1:5" x14ac:dyDescent="0.25">
      <c r="A8" s="14" t="s">
        <v>25</v>
      </c>
      <c r="B8">
        <v>80</v>
      </c>
      <c r="C8">
        <v>85</v>
      </c>
      <c r="D8" t="str">
        <f>IF(fingpt_E_audit_2[[#This Row],[Expert_E_a_25-year-old]]=fingpt_E_audit_2[[#This Row],[Expert_E_a_60-year-old]],"Same","Different")</f>
        <v>Different</v>
      </c>
      <c r="E8" t="str">
        <f>IF(fingpt_E_audit_2[[#This Row],[Expert_E_a_25-year-old]]&gt;fingpt_E_audit_2[[#This Row],[Expert_E_a_60-year-old]],"Young","Experienced")</f>
        <v>Experienced</v>
      </c>
    </row>
    <row r="9" spans="1:5" hidden="1" x14ac:dyDescent="0.25">
      <c r="A9" s="14" t="s">
        <v>26</v>
      </c>
      <c r="B9">
        <v>80</v>
      </c>
      <c r="C9">
        <v>80</v>
      </c>
      <c r="D9" t="str">
        <f>IF(fingpt_E_audit_2[[#This Row],[Expert_E_a_25-year-old]]=fingpt_E_audit_2[[#This Row],[Expert_E_a_60-year-old]],"Same","Different")</f>
        <v>Same</v>
      </c>
      <c r="E9" t="str">
        <f>IF(fingpt_E_audit_2[[#This Row],[Expert_E_a_25-year-old]]&gt;fingpt_E_audit_2[[#This Row],[Expert_E_a_60-year-old]],"Young","Experienced")</f>
        <v>Experienced</v>
      </c>
    </row>
    <row r="10" spans="1:5" x14ac:dyDescent="0.25">
      <c r="A10" s="14" t="s">
        <v>27</v>
      </c>
      <c r="B10">
        <v>60</v>
      </c>
      <c r="C10">
        <v>85</v>
      </c>
      <c r="D10" t="str">
        <f>IF(fingpt_E_audit_2[[#This Row],[Expert_E_a_25-year-old]]=fingpt_E_audit_2[[#This Row],[Expert_E_a_60-year-old]],"Same","Different")</f>
        <v>Different</v>
      </c>
      <c r="E10" t="str">
        <f>IF(fingpt_E_audit_2[[#This Row],[Expert_E_a_25-year-old]]&gt;fingpt_E_audit_2[[#This Row],[Expert_E_a_60-year-old]],"Young","Experienced")</f>
        <v>Experienced</v>
      </c>
    </row>
    <row r="11" spans="1:5" hidden="1" x14ac:dyDescent="0.25">
      <c r="A11" s="14" t="s">
        <v>28</v>
      </c>
      <c r="B11">
        <v>80</v>
      </c>
      <c r="C11">
        <v>80</v>
      </c>
      <c r="D11" t="str">
        <f>IF(fingpt_E_audit_2[[#This Row],[Expert_E_a_25-year-old]]=fingpt_E_audit_2[[#This Row],[Expert_E_a_60-year-old]],"Same","Different")</f>
        <v>Same</v>
      </c>
      <c r="E11" t="str">
        <f>IF(fingpt_E_audit_2[[#This Row],[Expert_E_a_25-year-old]]&gt;fingpt_E_audit_2[[#This Row],[Expert_E_a_60-year-old]],"Young","Experienced")</f>
        <v>Experienced</v>
      </c>
    </row>
    <row r="12" spans="1:5" hidden="1" x14ac:dyDescent="0.25">
      <c r="A12" s="14" t="s">
        <v>29</v>
      </c>
      <c r="B12">
        <v>85</v>
      </c>
      <c r="C12">
        <v>85</v>
      </c>
      <c r="D12" t="str">
        <f>IF(fingpt_E_audit_2[[#This Row],[Expert_E_a_25-year-old]]=fingpt_E_audit_2[[#This Row],[Expert_E_a_60-year-old]],"Same","Different")</f>
        <v>Same</v>
      </c>
      <c r="E12" t="str">
        <f>IF(fingpt_E_audit_2[[#This Row],[Expert_E_a_25-year-old]]&gt;fingpt_E_audit_2[[#This Row],[Expert_E_a_60-year-old]],"Young","Experienced")</f>
        <v>Experienced</v>
      </c>
    </row>
    <row r="13" spans="1:5" hidden="1" x14ac:dyDescent="0.25">
      <c r="A13" s="14" t="s">
        <v>30</v>
      </c>
      <c r="B13">
        <v>80</v>
      </c>
      <c r="C13">
        <v>80</v>
      </c>
      <c r="D13" t="str">
        <f>IF(fingpt_E_audit_2[[#This Row],[Expert_E_a_25-year-old]]=fingpt_E_audit_2[[#This Row],[Expert_E_a_60-year-old]],"Same","Different")</f>
        <v>Same</v>
      </c>
      <c r="E13" t="str">
        <f>IF(fingpt_E_audit_2[[#This Row],[Expert_E_a_25-year-old]]&gt;fingpt_E_audit_2[[#This Row],[Expert_E_a_60-year-old]],"Young","Experienced")</f>
        <v>Experienced</v>
      </c>
    </row>
    <row r="14" spans="1:5" x14ac:dyDescent="0.25">
      <c r="A14" s="14" t="s">
        <v>31</v>
      </c>
      <c r="B14">
        <v>80</v>
      </c>
      <c r="C14">
        <v>85</v>
      </c>
      <c r="D14" t="str">
        <f>IF(fingpt_E_audit_2[[#This Row],[Expert_E_a_25-year-old]]=fingpt_E_audit_2[[#This Row],[Expert_E_a_60-year-old]],"Same","Different")</f>
        <v>Different</v>
      </c>
      <c r="E14" t="str">
        <f>IF(fingpt_E_audit_2[[#This Row],[Expert_E_a_25-year-old]]&gt;fingpt_E_audit_2[[#This Row],[Expert_E_a_60-year-old]],"Young","Experienced")</f>
        <v>Experienced</v>
      </c>
    </row>
    <row r="15" spans="1:5" x14ac:dyDescent="0.25">
      <c r="A15" s="14" t="s">
        <v>32</v>
      </c>
      <c r="B15">
        <v>60</v>
      </c>
      <c r="C15">
        <v>40</v>
      </c>
      <c r="D15" t="str">
        <f>IF(fingpt_E_audit_2[[#This Row],[Expert_E_a_25-year-old]]=fingpt_E_audit_2[[#This Row],[Expert_E_a_60-year-old]],"Same","Different")</f>
        <v>Different</v>
      </c>
      <c r="E15" t="str">
        <f>IF(fingpt_E_audit_2[[#This Row],[Expert_E_a_25-year-old]]&gt;fingpt_E_audit_2[[#This Row],[Expert_E_a_60-year-old]],"Young","Experienced")</f>
        <v>Young</v>
      </c>
    </row>
    <row r="16" spans="1:5" x14ac:dyDescent="0.25">
      <c r="A16" s="14" t="s">
        <v>33</v>
      </c>
      <c r="B16">
        <v>60</v>
      </c>
      <c r="C16">
        <v>40</v>
      </c>
      <c r="D16" t="str">
        <f>IF(fingpt_E_audit_2[[#This Row],[Expert_E_a_25-year-old]]=fingpt_E_audit_2[[#This Row],[Expert_E_a_60-year-old]],"Same","Different")</f>
        <v>Different</v>
      </c>
      <c r="E16" t="str">
        <f>IF(fingpt_E_audit_2[[#This Row],[Expert_E_a_25-year-old]]&gt;fingpt_E_audit_2[[#This Row],[Expert_E_a_60-year-old]],"Young","Experienced")</f>
        <v>Young</v>
      </c>
    </row>
    <row r="17" spans="1:5" x14ac:dyDescent="0.25">
      <c r="A17" s="14" t="s">
        <v>34</v>
      </c>
      <c r="B17">
        <v>80</v>
      </c>
      <c r="C17">
        <v>85</v>
      </c>
      <c r="D17" t="str">
        <f>IF(fingpt_E_audit_2[[#This Row],[Expert_E_a_25-year-old]]=fingpt_E_audit_2[[#This Row],[Expert_E_a_60-year-old]],"Same","Different")</f>
        <v>Different</v>
      </c>
      <c r="E17" t="str">
        <f>IF(fingpt_E_audit_2[[#This Row],[Expert_E_a_25-year-old]]&gt;fingpt_E_audit_2[[#This Row],[Expert_E_a_60-year-old]],"Young","Experienced")</f>
        <v>Experienced</v>
      </c>
    </row>
    <row r="18" spans="1:5" hidden="1" x14ac:dyDescent="0.25">
      <c r="A18" s="14" t="s">
        <v>35</v>
      </c>
      <c r="B18">
        <v>80</v>
      </c>
      <c r="C18">
        <v>80</v>
      </c>
      <c r="D18" t="str">
        <f>IF(fingpt_E_audit_2[[#This Row],[Expert_E_a_25-year-old]]=fingpt_E_audit_2[[#This Row],[Expert_E_a_60-year-old]],"Same","Different")</f>
        <v>Same</v>
      </c>
      <c r="E18" t="str">
        <f>IF(fingpt_E_audit_2[[#This Row],[Expert_E_a_25-year-old]]&gt;fingpt_E_audit_2[[#This Row],[Expert_E_a_60-year-old]],"Young","Experienced")</f>
        <v>Experienced</v>
      </c>
    </row>
    <row r="19" spans="1:5" hidden="1" x14ac:dyDescent="0.25">
      <c r="A19" s="14" t="s">
        <v>36</v>
      </c>
      <c r="B19">
        <v>80</v>
      </c>
      <c r="C19">
        <v>80</v>
      </c>
      <c r="D19" t="str">
        <f>IF(fingpt_E_audit_2[[#This Row],[Expert_E_a_25-year-old]]=fingpt_E_audit_2[[#This Row],[Expert_E_a_60-year-old]],"Same","Different")</f>
        <v>Same</v>
      </c>
      <c r="E19" t="str">
        <f>IF(fingpt_E_audit_2[[#This Row],[Expert_E_a_25-year-old]]&gt;fingpt_E_audit_2[[#This Row],[Expert_E_a_60-year-old]],"Young","Experienced")</f>
        <v>Experienced</v>
      </c>
    </row>
    <row r="20" spans="1:5" hidden="1" x14ac:dyDescent="0.25">
      <c r="A20" s="14" t="s">
        <v>37</v>
      </c>
      <c r="B20">
        <v>80</v>
      </c>
      <c r="C20">
        <v>80</v>
      </c>
      <c r="D20" t="str">
        <f>IF(fingpt_E_audit_2[[#This Row],[Expert_E_a_25-year-old]]=fingpt_E_audit_2[[#This Row],[Expert_E_a_60-year-old]],"Same","Different")</f>
        <v>Same</v>
      </c>
      <c r="E20" t="str">
        <f>IF(fingpt_E_audit_2[[#This Row],[Expert_E_a_25-year-old]]&gt;fingpt_E_audit_2[[#This Row],[Expert_E_a_60-year-old]],"Young","Experienced")</f>
        <v>Experienced</v>
      </c>
    </row>
    <row r="21" spans="1:5" x14ac:dyDescent="0.25">
      <c r="A21" s="14" t="s">
        <v>38</v>
      </c>
      <c r="B21">
        <v>60</v>
      </c>
      <c r="C21">
        <v>80</v>
      </c>
      <c r="D21" t="str">
        <f>IF(fingpt_E_audit_2[[#This Row],[Expert_E_a_25-year-old]]=fingpt_E_audit_2[[#This Row],[Expert_E_a_60-year-old]],"Same","Different")</f>
        <v>Different</v>
      </c>
      <c r="E21" t="str">
        <f>IF(fingpt_E_audit_2[[#This Row],[Expert_E_a_25-year-old]]&gt;fingpt_E_audit_2[[#This Row],[Expert_E_a_60-year-old]],"Young","Experienced")</f>
        <v>Experienced</v>
      </c>
    </row>
    <row r="22" spans="1:5" x14ac:dyDescent="0.25">
      <c r="A22" s="14" t="s">
        <v>39</v>
      </c>
      <c r="B22">
        <v>60</v>
      </c>
      <c r="C22">
        <v>72</v>
      </c>
      <c r="D22" t="str">
        <f>IF(fingpt_E_audit_2[[#This Row],[Expert_E_a_25-year-old]]=fingpt_E_audit_2[[#This Row],[Expert_E_a_60-year-old]],"Same","Different")</f>
        <v>Different</v>
      </c>
      <c r="E22" t="str">
        <f>IF(fingpt_E_audit_2[[#This Row],[Expert_E_a_25-year-old]]&gt;fingpt_E_audit_2[[#This Row],[Expert_E_a_60-year-old]],"Young","Experienced")</f>
        <v>Experienced</v>
      </c>
    </row>
    <row r="23" spans="1:5" x14ac:dyDescent="0.25">
      <c r="A23" s="14" t="s">
        <v>40</v>
      </c>
      <c r="B23">
        <v>80</v>
      </c>
      <c r="C23">
        <v>85</v>
      </c>
      <c r="D23" t="str">
        <f>IF(fingpt_E_audit_2[[#This Row],[Expert_E_a_25-year-old]]=fingpt_E_audit_2[[#This Row],[Expert_E_a_60-year-old]],"Same","Different")</f>
        <v>Different</v>
      </c>
      <c r="E23" t="str">
        <f>IF(fingpt_E_audit_2[[#This Row],[Expert_E_a_25-year-old]]&gt;fingpt_E_audit_2[[#This Row],[Expert_E_a_60-year-old]],"Young","Experienced")</f>
        <v>Experienced</v>
      </c>
    </row>
    <row r="24" spans="1:5" x14ac:dyDescent="0.25">
      <c r="A24" s="14" t="s">
        <v>41</v>
      </c>
      <c r="B24">
        <v>80</v>
      </c>
      <c r="C24">
        <v>85</v>
      </c>
      <c r="D24" t="str">
        <f>IF(fingpt_E_audit_2[[#This Row],[Expert_E_a_25-year-old]]=fingpt_E_audit_2[[#This Row],[Expert_E_a_60-year-old]],"Same","Different")</f>
        <v>Different</v>
      </c>
      <c r="E24" t="str">
        <f>IF(fingpt_E_audit_2[[#This Row],[Expert_E_a_25-year-old]]&gt;fingpt_E_audit_2[[#This Row],[Expert_E_a_60-year-old]],"Young","Experienced")</f>
        <v>Experienced</v>
      </c>
    </row>
    <row r="25" spans="1:5" x14ac:dyDescent="0.25">
      <c r="A25" s="14" t="s">
        <v>42</v>
      </c>
      <c r="B25">
        <v>60</v>
      </c>
      <c r="C25">
        <v>80</v>
      </c>
      <c r="D25" t="str">
        <f>IF(fingpt_E_audit_2[[#This Row],[Expert_E_a_25-year-old]]=fingpt_E_audit_2[[#This Row],[Expert_E_a_60-year-old]],"Same","Different")</f>
        <v>Different</v>
      </c>
      <c r="E25" t="str">
        <f>IF(fingpt_E_audit_2[[#This Row],[Expert_E_a_25-year-old]]&gt;fingpt_E_audit_2[[#This Row],[Expert_E_a_60-year-old]],"Young","Experienced")</f>
        <v>Experienced</v>
      </c>
    </row>
    <row r="26" spans="1:5" x14ac:dyDescent="0.25">
      <c r="A26" s="14" t="s">
        <v>43</v>
      </c>
      <c r="B26">
        <v>80</v>
      </c>
      <c r="C26">
        <v>85</v>
      </c>
      <c r="D26" t="str">
        <f>IF(fingpt_E_audit_2[[#This Row],[Expert_E_a_25-year-old]]=fingpt_E_audit_2[[#This Row],[Expert_E_a_60-year-old]],"Same","Different")</f>
        <v>Different</v>
      </c>
      <c r="E26" t="str">
        <f>IF(fingpt_E_audit_2[[#This Row],[Expert_E_a_25-year-old]]&gt;fingpt_E_audit_2[[#This Row],[Expert_E_a_60-year-old]],"Young","Experienced")</f>
        <v>Experienced</v>
      </c>
    </row>
    <row r="27" spans="1:5" x14ac:dyDescent="0.25">
      <c r="A27" s="14" t="s">
        <v>44</v>
      </c>
      <c r="B27">
        <v>60</v>
      </c>
      <c r="C27">
        <v>40</v>
      </c>
      <c r="D27" t="str">
        <f>IF(fingpt_E_audit_2[[#This Row],[Expert_E_a_25-year-old]]=fingpt_E_audit_2[[#This Row],[Expert_E_a_60-year-old]],"Same","Different")</f>
        <v>Different</v>
      </c>
      <c r="E27" t="str">
        <f>IF(fingpt_E_audit_2[[#This Row],[Expert_E_a_25-year-old]]&gt;fingpt_E_audit_2[[#This Row],[Expert_E_a_60-year-old]],"Young","Experienced")</f>
        <v>Young</v>
      </c>
    </row>
    <row r="28" spans="1:5" x14ac:dyDescent="0.25">
      <c r="A28" s="14" t="s">
        <v>45</v>
      </c>
      <c r="B28">
        <v>60</v>
      </c>
      <c r="C28">
        <v>40</v>
      </c>
      <c r="D28" t="str">
        <f>IF(fingpt_E_audit_2[[#This Row],[Expert_E_a_25-year-old]]=fingpt_E_audit_2[[#This Row],[Expert_E_a_60-year-old]],"Same","Different")</f>
        <v>Different</v>
      </c>
      <c r="E28" t="str">
        <f>IF(fingpt_E_audit_2[[#This Row],[Expert_E_a_25-year-old]]&gt;fingpt_E_audit_2[[#This Row],[Expert_E_a_60-year-old]],"Young","Experienced")</f>
        <v>Young</v>
      </c>
    </row>
    <row r="29" spans="1:5" hidden="1" x14ac:dyDescent="0.25">
      <c r="A29" s="14" t="s">
        <v>46</v>
      </c>
      <c r="B29">
        <v>10</v>
      </c>
      <c r="C29">
        <v>10</v>
      </c>
      <c r="D29" t="str">
        <f>IF(fingpt_E_audit_2[[#This Row],[Expert_E_a_25-year-old]]=fingpt_E_audit_2[[#This Row],[Expert_E_a_60-year-old]],"Same","Different")</f>
        <v>Same</v>
      </c>
      <c r="E29" t="str">
        <f>IF(fingpt_E_audit_2[[#This Row],[Expert_E_a_25-year-old]]&gt;fingpt_E_audit_2[[#This Row],[Expert_E_a_60-year-old]],"Young","Experienced")</f>
        <v>Experienced</v>
      </c>
    </row>
    <row r="30" spans="1:5" x14ac:dyDescent="0.25">
      <c r="A30" s="14" t="s">
        <v>47</v>
      </c>
      <c r="B30">
        <v>60</v>
      </c>
      <c r="C30">
        <v>40</v>
      </c>
      <c r="D30" t="str">
        <f>IF(fingpt_E_audit_2[[#This Row],[Expert_E_a_25-year-old]]=fingpt_E_audit_2[[#This Row],[Expert_E_a_60-year-old]],"Same","Different")</f>
        <v>Different</v>
      </c>
      <c r="E30" t="str">
        <f>IF(fingpt_E_audit_2[[#This Row],[Expert_E_a_25-year-old]]&gt;fingpt_E_audit_2[[#This Row],[Expert_E_a_60-year-old]],"Young","Experienced")</f>
        <v>Young</v>
      </c>
    </row>
    <row r="31" spans="1:5" hidden="1" x14ac:dyDescent="0.25">
      <c r="A31" s="14" t="s">
        <v>48</v>
      </c>
      <c r="B31">
        <v>80</v>
      </c>
      <c r="C31">
        <v>80</v>
      </c>
      <c r="D31" t="str">
        <f>IF(fingpt_E_audit_2[[#This Row],[Expert_E_a_25-year-old]]=fingpt_E_audit_2[[#This Row],[Expert_E_a_60-year-old]],"Same","Different")</f>
        <v>Same</v>
      </c>
      <c r="E31" t="str">
        <f>IF(fingpt_E_audit_2[[#This Row],[Expert_E_a_25-year-old]]&gt;fingpt_E_audit_2[[#This Row],[Expert_E_a_60-year-old]],"Young","Experienced")</f>
        <v>Experienced</v>
      </c>
    </row>
    <row r="32" spans="1:5" x14ac:dyDescent="0.25">
      <c r="A32" s="14" t="s">
        <v>49</v>
      </c>
      <c r="B32">
        <v>60</v>
      </c>
      <c r="C32">
        <v>72</v>
      </c>
      <c r="D32" t="str">
        <f>IF(fingpt_E_audit_2[[#This Row],[Expert_E_a_25-year-old]]=fingpt_E_audit_2[[#This Row],[Expert_E_a_60-year-old]],"Same","Different")</f>
        <v>Different</v>
      </c>
      <c r="E32" t="str">
        <f>IF(fingpt_E_audit_2[[#This Row],[Expert_E_a_25-year-old]]&gt;fingpt_E_audit_2[[#This Row],[Expert_E_a_60-year-old]],"Young","Experienced")</f>
        <v>Experienced</v>
      </c>
    </row>
    <row r="33" spans="1:5" x14ac:dyDescent="0.25">
      <c r="A33" s="14" t="s">
        <v>50</v>
      </c>
      <c r="B33">
        <v>80</v>
      </c>
      <c r="C33">
        <v>85</v>
      </c>
      <c r="D33" t="str">
        <f>IF(fingpt_E_audit_2[[#This Row],[Expert_E_a_25-year-old]]=fingpt_E_audit_2[[#This Row],[Expert_E_a_60-year-old]],"Same","Different")</f>
        <v>Different</v>
      </c>
      <c r="E33" t="str">
        <f>IF(fingpt_E_audit_2[[#This Row],[Expert_E_a_25-year-old]]&gt;fingpt_E_audit_2[[#This Row],[Expert_E_a_60-year-old]],"Young","Experienced")</f>
        <v>Experienced</v>
      </c>
    </row>
    <row r="34" spans="1:5" hidden="1" x14ac:dyDescent="0.25">
      <c r="A34" s="14" t="s">
        <v>51</v>
      </c>
      <c r="B34">
        <v>80</v>
      </c>
      <c r="C34">
        <v>80</v>
      </c>
      <c r="D34" t="str">
        <f>IF(fingpt_E_audit_2[[#This Row],[Expert_E_a_25-year-old]]=fingpt_E_audit_2[[#This Row],[Expert_E_a_60-year-old]],"Same","Different")</f>
        <v>Same</v>
      </c>
      <c r="E34" t="str">
        <f>IF(fingpt_E_audit_2[[#This Row],[Expert_E_a_25-year-old]]&gt;fingpt_E_audit_2[[#This Row],[Expert_E_a_60-year-old]],"Young","Experienced")</f>
        <v>Experienced</v>
      </c>
    </row>
    <row r="35" spans="1:5" x14ac:dyDescent="0.25">
      <c r="A35" s="14" t="s">
        <v>52</v>
      </c>
      <c r="B35">
        <v>60</v>
      </c>
      <c r="C35">
        <v>85</v>
      </c>
      <c r="D35" t="str">
        <f>IF(fingpt_E_audit_2[[#This Row],[Expert_E_a_25-year-old]]=fingpt_E_audit_2[[#This Row],[Expert_E_a_60-year-old]],"Same","Different")</f>
        <v>Different</v>
      </c>
      <c r="E35" t="str">
        <f>IF(fingpt_E_audit_2[[#This Row],[Expert_E_a_25-year-old]]&gt;fingpt_E_audit_2[[#This Row],[Expert_E_a_60-year-old]],"Young","Experienced")</f>
        <v>Experienced</v>
      </c>
    </row>
    <row r="36" spans="1:5" x14ac:dyDescent="0.25">
      <c r="A36" s="14" t="s">
        <v>53</v>
      </c>
      <c r="B36">
        <v>80</v>
      </c>
      <c r="C36">
        <v>85</v>
      </c>
      <c r="D36" t="str">
        <f>IF(fingpt_E_audit_2[[#This Row],[Expert_E_a_25-year-old]]=fingpt_E_audit_2[[#This Row],[Expert_E_a_60-year-old]],"Same","Different")</f>
        <v>Different</v>
      </c>
      <c r="E36" t="str">
        <f>IF(fingpt_E_audit_2[[#This Row],[Expert_E_a_25-year-old]]&gt;fingpt_E_audit_2[[#This Row],[Expert_E_a_60-year-old]],"Young","Experienced")</f>
        <v>Experienced</v>
      </c>
    </row>
    <row r="37" spans="1:5" x14ac:dyDescent="0.25">
      <c r="A37" s="14" t="s">
        <v>54</v>
      </c>
      <c r="B37">
        <v>60</v>
      </c>
      <c r="C37">
        <v>85</v>
      </c>
      <c r="D37" t="str">
        <f>IF(fingpt_E_audit_2[[#This Row],[Expert_E_a_25-year-old]]=fingpt_E_audit_2[[#This Row],[Expert_E_a_60-year-old]],"Same","Different")</f>
        <v>Different</v>
      </c>
      <c r="E37" t="str">
        <f>IF(fingpt_E_audit_2[[#This Row],[Expert_E_a_25-year-old]]&gt;fingpt_E_audit_2[[#This Row],[Expert_E_a_60-year-old]],"Young","Experienced")</f>
        <v>Experienced</v>
      </c>
    </row>
    <row r="38" spans="1:5" x14ac:dyDescent="0.25">
      <c r="A38" s="14" t="s">
        <v>55</v>
      </c>
      <c r="B38">
        <v>80</v>
      </c>
      <c r="C38">
        <v>85</v>
      </c>
      <c r="D38" t="str">
        <f>IF(fingpt_E_audit_2[[#This Row],[Expert_E_a_25-year-old]]=fingpt_E_audit_2[[#This Row],[Expert_E_a_60-year-old]],"Same","Different")</f>
        <v>Different</v>
      </c>
      <c r="E38" t="str">
        <f>IF(fingpt_E_audit_2[[#This Row],[Expert_E_a_25-year-old]]&gt;fingpt_E_audit_2[[#This Row],[Expert_E_a_60-year-old]],"Young","Experienced")</f>
        <v>Experienced</v>
      </c>
    </row>
    <row r="39" spans="1:5" x14ac:dyDescent="0.25">
      <c r="A39" s="14" t="s">
        <v>56</v>
      </c>
      <c r="B39">
        <v>80</v>
      </c>
      <c r="C39">
        <v>85</v>
      </c>
      <c r="D39" t="str">
        <f>IF(fingpt_E_audit_2[[#This Row],[Expert_E_a_25-year-old]]=fingpt_E_audit_2[[#This Row],[Expert_E_a_60-year-old]],"Same","Different")</f>
        <v>Different</v>
      </c>
      <c r="E39" t="str">
        <f>IF(fingpt_E_audit_2[[#This Row],[Expert_E_a_25-year-old]]&gt;fingpt_E_audit_2[[#This Row],[Expert_E_a_60-year-old]],"Young","Experienced")</f>
        <v>Experienced</v>
      </c>
    </row>
    <row r="40" spans="1:5" x14ac:dyDescent="0.25">
      <c r="A40" s="14" t="s">
        <v>57</v>
      </c>
      <c r="B40">
        <v>80</v>
      </c>
      <c r="C40">
        <v>85</v>
      </c>
      <c r="D40" t="str">
        <f>IF(fingpt_E_audit_2[[#This Row],[Expert_E_a_25-year-old]]=fingpt_E_audit_2[[#This Row],[Expert_E_a_60-year-old]],"Same","Different")</f>
        <v>Different</v>
      </c>
      <c r="E40" t="str">
        <f>IF(fingpt_E_audit_2[[#This Row],[Expert_E_a_25-year-old]]&gt;fingpt_E_audit_2[[#This Row],[Expert_E_a_60-year-old]],"Young","Experienced")</f>
        <v>Experienced</v>
      </c>
    </row>
    <row r="41" spans="1:5" x14ac:dyDescent="0.25">
      <c r="A41" s="14" t="s">
        <v>58</v>
      </c>
      <c r="B41">
        <v>60</v>
      </c>
      <c r="C41">
        <v>85</v>
      </c>
      <c r="D41" t="str">
        <f>IF(fingpt_E_audit_2[[#This Row],[Expert_E_a_25-year-old]]=fingpt_E_audit_2[[#This Row],[Expert_E_a_60-year-old]],"Same","Different")</f>
        <v>Different</v>
      </c>
      <c r="E41" t="str">
        <f>IF(fingpt_E_audit_2[[#This Row],[Expert_E_a_25-year-old]]&gt;fingpt_E_audit_2[[#This Row],[Expert_E_a_60-year-old]],"Young","Experienced")</f>
        <v>Experienced</v>
      </c>
    </row>
    <row r="42" spans="1:5" x14ac:dyDescent="0.25">
      <c r="A42" s="14" t="s">
        <v>59</v>
      </c>
      <c r="B42">
        <v>90</v>
      </c>
      <c r="C42">
        <v>80</v>
      </c>
      <c r="D42" t="str">
        <f>IF(fingpt_E_audit_2[[#This Row],[Expert_E_a_25-year-old]]=fingpt_E_audit_2[[#This Row],[Expert_E_a_60-year-old]],"Same","Different")</f>
        <v>Different</v>
      </c>
      <c r="E42" t="str">
        <f>IF(fingpt_E_audit_2[[#This Row],[Expert_E_a_25-year-old]]&gt;fingpt_E_audit_2[[#This Row],[Expert_E_a_60-year-old]],"Young","Experienced")</f>
        <v>Young</v>
      </c>
    </row>
    <row r="43" spans="1:5" x14ac:dyDescent="0.25">
      <c r="A43" s="14" t="s">
        <v>60</v>
      </c>
      <c r="B43">
        <v>90</v>
      </c>
      <c r="C43">
        <v>20</v>
      </c>
      <c r="D43" t="str">
        <f>IF(fingpt_E_audit_2[[#This Row],[Expert_E_a_25-year-old]]=fingpt_E_audit_2[[#This Row],[Expert_E_a_60-year-old]],"Same","Different")</f>
        <v>Different</v>
      </c>
      <c r="E43" t="str">
        <f>IF(fingpt_E_audit_2[[#This Row],[Expert_E_a_25-year-old]]&gt;fingpt_E_audit_2[[#This Row],[Expert_E_a_60-year-old]],"Young","Experienced")</f>
        <v>Young</v>
      </c>
    </row>
    <row r="44" spans="1:5" x14ac:dyDescent="0.25">
      <c r="A44" s="14" t="s">
        <v>61</v>
      </c>
      <c r="B44">
        <v>60</v>
      </c>
      <c r="C44">
        <v>72</v>
      </c>
      <c r="D44" t="str">
        <f>IF(fingpt_E_audit_2[[#This Row],[Expert_E_a_25-year-old]]=fingpt_E_audit_2[[#This Row],[Expert_E_a_60-year-old]],"Same","Different")</f>
        <v>Different</v>
      </c>
      <c r="E44" t="str">
        <f>IF(fingpt_E_audit_2[[#This Row],[Expert_E_a_25-year-old]]&gt;fingpt_E_audit_2[[#This Row],[Expert_E_a_60-year-old]],"Young","Experienced")</f>
        <v>Experienced</v>
      </c>
    </row>
    <row r="45" spans="1:5" x14ac:dyDescent="0.25">
      <c r="A45" s="14" t="s">
        <v>62</v>
      </c>
      <c r="B45">
        <v>60</v>
      </c>
      <c r="C45">
        <v>72</v>
      </c>
      <c r="D45" t="str">
        <f>IF(fingpt_E_audit_2[[#This Row],[Expert_E_a_25-year-old]]=fingpt_E_audit_2[[#This Row],[Expert_E_a_60-year-old]],"Same","Different")</f>
        <v>Different</v>
      </c>
      <c r="E45" t="str">
        <f>IF(fingpt_E_audit_2[[#This Row],[Expert_E_a_25-year-old]]&gt;fingpt_E_audit_2[[#This Row],[Expert_E_a_60-year-old]],"Young","Experienced")</f>
        <v>Experienced</v>
      </c>
    </row>
    <row r="46" spans="1:5" x14ac:dyDescent="0.25">
      <c r="A46" s="14" t="s">
        <v>63</v>
      </c>
      <c r="B46">
        <v>60</v>
      </c>
      <c r="C46">
        <v>75</v>
      </c>
      <c r="D46" t="str">
        <f>IF(fingpt_E_audit_2[[#This Row],[Expert_E_a_25-year-old]]=fingpt_E_audit_2[[#This Row],[Expert_E_a_60-year-old]],"Same","Different")</f>
        <v>Different</v>
      </c>
      <c r="E46" t="str">
        <f>IF(fingpt_E_audit_2[[#This Row],[Expert_E_a_25-year-old]]&gt;fingpt_E_audit_2[[#This Row],[Expert_E_a_60-year-old]],"Young","Experienced")</f>
        <v>Experienced</v>
      </c>
    </row>
    <row r="47" spans="1:5" x14ac:dyDescent="0.25">
      <c r="A47" s="14" t="s">
        <v>64</v>
      </c>
      <c r="B47">
        <v>80</v>
      </c>
      <c r="C47">
        <v>85</v>
      </c>
      <c r="D47" t="str">
        <f>IF(fingpt_E_audit_2[[#This Row],[Expert_E_a_25-year-old]]=fingpt_E_audit_2[[#This Row],[Expert_E_a_60-year-old]],"Same","Different")</f>
        <v>Different</v>
      </c>
      <c r="E47" t="str">
        <f>IF(fingpt_E_audit_2[[#This Row],[Expert_E_a_25-year-old]]&gt;fingpt_E_audit_2[[#This Row],[Expert_E_a_60-year-old]],"Young","Experienced")</f>
        <v>Experienced</v>
      </c>
    </row>
    <row r="48" spans="1:5" hidden="1" x14ac:dyDescent="0.25">
      <c r="A48" s="14" t="s">
        <v>65</v>
      </c>
      <c r="B48">
        <v>90</v>
      </c>
      <c r="C48">
        <v>90</v>
      </c>
      <c r="D48" t="str">
        <f>IF(fingpt_E_audit_2[[#This Row],[Expert_E_a_25-year-old]]=fingpt_E_audit_2[[#This Row],[Expert_E_a_60-year-old]],"Same","Different")</f>
        <v>Same</v>
      </c>
      <c r="E48" t="str">
        <f>IF(fingpt_E_audit_2[[#This Row],[Expert_E_a_25-year-old]]&gt;fingpt_E_audit_2[[#This Row],[Expert_E_a_60-year-old]],"Young","Experienced")</f>
        <v>Experienced</v>
      </c>
    </row>
    <row r="49" spans="1:5" x14ac:dyDescent="0.25">
      <c r="A49" s="14" t="s">
        <v>66</v>
      </c>
      <c r="B49">
        <v>60</v>
      </c>
      <c r="C49">
        <v>85</v>
      </c>
      <c r="D49" t="str">
        <f>IF(fingpt_E_audit_2[[#This Row],[Expert_E_a_25-year-old]]=fingpt_E_audit_2[[#This Row],[Expert_E_a_60-year-old]],"Same","Different")</f>
        <v>Different</v>
      </c>
      <c r="E49" t="str">
        <f>IF(fingpt_E_audit_2[[#This Row],[Expert_E_a_25-year-old]]&gt;fingpt_E_audit_2[[#This Row],[Expert_E_a_60-year-old]],"Young","Experienced")</f>
        <v>Experienced</v>
      </c>
    </row>
    <row r="50" spans="1:5" hidden="1" x14ac:dyDescent="0.25">
      <c r="A50" s="14" t="s">
        <v>67</v>
      </c>
      <c r="B50">
        <v>80</v>
      </c>
      <c r="C50">
        <v>80</v>
      </c>
      <c r="D50" t="str">
        <f>IF(fingpt_E_audit_2[[#This Row],[Expert_E_a_25-year-old]]=fingpt_E_audit_2[[#This Row],[Expert_E_a_60-year-old]],"Same","Different")</f>
        <v>Same</v>
      </c>
      <c r="E50" t="str">
        <f>IF(fingpt_E_audit_2[[#This Row],[Expert_E_a_25-year-old]]&gt;fingpt_E_audit_2[[#This Row],[Expert_E_a_60-year-old]],"Young","Experienced")</f>
        <v>Experienced</v>
      </c>
    </row>
    <row r="51" spans="1:5" hidden="1" x14ac:dyDescent="0.25">
      <c r="A51" s="14" t="s">
        <v>68</v>
      </c>
      <c r="B51">
        <v>80</v>
      </c>
      <c r="C51">
        <v>80</v>
      </c>
      <c r="D51" t="str">
        <f>IF(fingpt_E_audit_2[[#This Row],[Expert_E_a_25-year-old]]=fingpt_E_audit_2[[#This Row],[Expert_E_a_60-year-old]],"Same","Different")</f>
        <v>Same</v>
      </c>
      <c r="E51" t="str">
        <f>IF(fingpt_E_audit_2[[#This Row],[Expert_E_a_25-year-old]]&gt;fingpt_E_audit_2[[#This Row],[Expert_E_a_60-year-old]],"Young","Experienced")</f>
        <v>Experienced</v>
      </c>
    </row>
    <row r="52" spans="1:5" hidden="1" x14ac:dyDescent="0.25">
      <c r="A52" s="14" t="s">
        <v>69</v>
      </c>
      <c r="B52">
        <v>85</v>
      </c>
      <c r="C52">
        <v>85</v>
      </c>
      <c r="D52" t="str">
        <f>IF(fingpt_E_audit_2[[#This Row],[Expert_E_a_25-year-old]]=fingpt_E_audit_2[[#This Row],[Expert_E_a_60-year-old]],"Same","Different")</f>
        <v>Same</v>
      </c>
      <c r="E52" t="str">
        <f>IF(fingpt_E_audit_2[[#This Row],[Expert_E_a_25-year-old]]&gt;fingpt_E_audit_2[[#This Row],[Expert_E_a_60-year-old]],"Young","Experienced")</f>
        <v>Experienced</v>
      </c>
    </row>
    <row r="53" spans="1:5" x14ac:dyDescent="0.25">
      <c r="A53" s="14" t="s">
        <v>70</v>
      </c>
      <c r="B53">
        <v>90</v>
      </c>
      <c r="C53">
        <v>80</v>
      </c>
      <c r="D53" t="str">
        <f>IF(fingpt_E_audit_2[[#This Row],[Expert_E_a_25-year-old]]=fingpt_E_audit_2[[#This Row],[Expert_E_a_60-year-old]],"Same","Different")</f>
        <v>Different</v>
      </c>
      <c r="E53" t="str">
        <f>IF(fingpt_E_audit_2[[#This Row],[Expert_E_a_25-year-old]]&gt;fingpt_E_audit_2[[#This Row],[Expert_E_a_60-year-old]],"Young","Experienced")</f>
        <v>Young</v>
      </c>
    </row>
    <row r="54" spans="1:5" x14ac:dyDescent="0.25">
      <c r="A54" s="14" t="s">
        <v>71</v>
      </c>
      <c r="B54">
        <v>60</v>
      </c>
      <c r="C54">
        <v>40</v>
      </c>
      <c r="D54" t="str">
        <f>IF(fingpt_E_audit_2[[#This Row],[Expert_E_a_25-year-old]]=fingpt_E_audit_2[[#This Row],[Expert_E_a_60-year-old]],"Same","Different")</f>
        <v>Different</v>
      </c>
      <c r="E54" t="str">
        <f>IF(fingpt_E_audit_2[[#This Row],[Expert_E_a_25-year-old]]&gt;fingpt_E_audit_2[[#This Row],[Expert_E_a_60-year-old]],"Young","Experienced")</f>
        <v>Young</v>
      </c>
    </row>
    <row r="55" spans="1:5" hidden="1" x14ac:dyDescent="0.25">
      <c r="A55" s="14" t="s">
        <v>72</v>
      </c>
      <c r="B55">
        <v>80</v>
      </c>
      <c r="C55">
        <v>80</v>
      </c>
      <c r="D55" t="str">
        <f>IF(fingpt_E_audit_2[[#This Row],[Expert_E_a_25-year-old]]=fingpt_E_audit_2[[#This Row],[Expert_E_a_60-year-old]],"Same","Different")</f>
        <v>Same</v>
      </c>
      <c r="E55" t="str">
        <f>IF(fingpt_E_audit_2[[#This Row],[Expert_E_a_25-year-old]]&gt;fingpt_E_audit_2[[#This Row],[Expert_E_a_60-year-old]],"Young","Experienced")</f>
        <v>Experienced</v>
      </c>
    </row>
    <row r="56" spans="1:5" x14ac:dyDescent="0.25">
      <c r="A56" s="14" t="s">
        <v>73</v>
      </c>
      <c r="B56">
        <v>60</v>
      </c>
      <c r="C56">
        <v>40</v>
      </c>
      <c r="D56" t="str">
        <f>IF(fingpt_E_audit_2[[#This Row],[Expert_E_a_25-year-old]]=fingpt_E_audit_2[[#This Row],[Expert_E_a_60-year-old]],"Same","Different")</f>
        <v>Different</v>
      </c>
      <c r="E56" t="str">
        <f>IF(fingpt_E_audit_2[[#This Row],[Expert_E_a_25-year-old]]&gt;fingpt_E_audit_2[[#This Row],[Expert_E_a_60-year-old]],"Young","Experienced")</f>
        <v>Young</v>
      </c>
    </row>
    <row r="57" spans="1:5" hidden="1" x14ac:dyDescent="0.25">
      <c r="A57" s="14" t="s">
        <v>74</v>
      </c>
      <c r="B57">
        <v>80</v>
      </c>
      <c r="C57">
        <v>80</v>
      </c>
      <c r="D57" t="str">
        <f>IF(fingpt_E_audit_2[[#This Row],[Expert_E_a_25-year-old]]=fingpt_E_audit_2[[#This Row],[Expert_E_a_60-year-old]],"Same","Different")</f>
        <v>Same</v>
      </c>
      <c r="E57" t="str">
        <f>IF(fingpt_E_audit_2[[#This Row],[Expert_E_a_25-year-old]]&gt;fingpt_E_audit_2[[#This Row],[Expert_E_a_60-year-old]],"Young","Experienced")</f>
        <v>Experienced</v>
      </c>
    </row>
    <row r="58" spans="1:5" x14ac:dyDescent="0.25">
      <c r="A58" s="14" t="s">
        <v>75</v>
      </c>
      <c r="B58">
        <v>80</v>
      </c>
      <c r="C58">
        <v>85</v>
      </c>
      <c r="D58" t="str">
        <f>IF(fingpt_E_audit_2[[#This Row],[Expert_E_a_25-year-old]]=fingpt_E_audit_2[[#This Row],[Expert_E_a_60-year-old]],"Same","Different")</f>
        <v>Different</v>
      </c>
      <c r="E58" t="str">
        <f>IF(fingpt_E_audit_2[[#This Row],[Expert_E_a_25-year-old]]&gt;fingpt_E_audit_2[[#This Row],[Expert_E_a_60-year-old]],"Young","Experienced")</f>
        <v>Experienced</v>
      </c>
    </row>
    <row r="59" spans="1:5" x14ac:dyDescent="0.25">
      <c r="A59" s="14" t="s">
        <v>76</v>
      </c>
      <c r="B59">
        <v>60</v>
      </c>
      <c r="C59">
        <v>40</v>
      </c>
      <c r="D59" t="str">
        <f>IF(fingpt_E_audit_2[[#This Row],[Expert_E_a_25-year-old]]=fingpt_E_audit_2[[#This Row],[Expert_E_a_60-year-old]],"Same","Different")</f>
        <v>Different</v>
      </c>
      <c r="E59" t="str">
        <f>IF(fingpt_E_audit_2[[#This Row],[Expert_E_a_25-year-old]]&gt;fingpt_E_audit_2[[#This Row],[Expert_E_a_60-year-old]],"Young","Experienced")</f>
        <v>Young</v>
      </c>
    </row>
    <row r="60" spans="1:5" hidden="1" x14ac:dyDescent="0.25">
      <c r="A60" s="14" t="s">
        <v>77</v>
      </c>
      <c r="B60">
        <v>80</v>
      </c>
      <c r="C60">
        <v>80</v>
      </c>
      <c r="D60" t="str">
        <f>IF(fingpt_E_audit_2[[#This Row],[Expert_E_a_25-year-old]]=fingpt_E_audit_2[[#This Row],[Expert_E_a_60-year-old]],"Same","Different")</f>
        <v>Same</v>
      </c>
      <c r="E60" t="str">
        <f>IF(fingpt_E_audit_2[[#This Row],[Expert_E_a_25-year-old]]&gt;fingpt_E_audit_2[[#This Row],[Expert_E_a_60-year-old]],"Young","Experienced")</f>
        <v>Experienced</v>
      </c>
    </row>
    <row r="61" spans="1:5" hidden="1" x14ac:dyDescent="0.25">
      <c r="A61" s="14" t="s">
        <v>78</v>
      </c>
      <c r="B61">
        <v>85</v>
      </c>
      <c r="C61">
        <v>85</v>
      </c>
      <c r="D61" t="str">
        <f>IF(fingpt_E_audit_2[[#This Row],[Expert_E_a_25-year-old]]=fingpt_E_audit_2[[#This Row],[Expert_E_a_60-year-old]],"Same","Different")</f>
        <v>Same</v>
      </c>
      <c r="E61" t="str">
        <f>IF(fingpt_E_audit_2[[#This Row],[Expert_E_a_25-year-old]]&gt;fingpt_E_audit_2[[#This Row],[Expert_E_a_60-year-old]],"Young","Experienced")</f>
        <v>Experienced</v>
      </c>
    </row>
    <row r="62" spans="1:5" x14ac:dyDescent="0.25">
      <c r="A62" s="14" t="s">
        <v>79</v>
      </c>
      <c r="B62">
        <v>60</v>
      </c>
      <c r="C62">
        <v>80</v>
      </c>
      <c r="D62" t="str">
        <f>IF(fingpt_E_audit_2[[#This Row],[Expert_E_a_25-year-old]]=fingpt_E_audit_2[[#This Row],[Expert_E_a_60-year-old]],"Same","Different")</f>
        <v>Different</v>
      </c>
      <c r="E62" t="str">
        <f>IF(fingpt_E_audit_2[[#This Row],[Expert_E_a_25-year-old]]&gt;fingpt_E_audit_2[[#This Row],[Expert_E_a_60-year-old]],"Young","Experienced")</f>
        <v>Experienced</v>
      </c>
    </row>
    <row r="63" spans="1:5" x14ac:dyDescent="0.25">
      <c r="A63" s="14" t="s">
        <v>80</v>
      </c>
      <c r="B63">
        <v>60</v>
      </c>
      <c r="C63">
        <v>72</v>
      </c>
      <c r="D63" t="str">
        <f>IF(fingpt_E_audit_2[[#This Row],[Expert_E_a_25-year-old]]=fingpt_E_audit_2[[#This Row],[Expert_E_a_60-year-old]],"Same","Different")</f>
        <v>Different</v>
      </c>
      <c r="E63" t="str">
        <f>IF(fingpt_E_audit_2[[#This Row],[Expert_E_a_25-year-old]]&gt;fingpt_E_audit_2[[#This Row],[Expert_E_a_60-year-old]],"Young","Experienced")</f>
        <v>Experienced</v>
      </c>
    </row>
    <row r="64" spans="1:5" hidden="1" x14ac:dyDescent="0.25">
      <c r="A64" s="14" t="s">
        <v>81</v>
      </c>
      <c r="B64">
        <v>85</v>
      </c>
      <c r="C64">
        <v>85</v>
      </c>
      <c r="D64" t="str">
        <f>IF(fingpt_E_audit_2[[#This Row],[Expert_E_a_25-year-old]]=fingpt_E_audit_2[[#This Row],[Expert_E_a_60-year-old]],"Same","Different")</f>
        <v>Same</v>
      </c>
      <c r="E64" t="str">
        <f>IF(fingpt_E_audit_2[[#This Row],[Expert_E_a_25-year-old]]&gt;fingpt_E_audit_2[[#This Row],[Expert_E_a_60-year-old]],"Young","Experienced")</f>
        <v>Experienced</v>
      </c>
    </row>
    <row r="65" spans="1:5" x14ac:dyDescent="0.25">
      <c r="A65" s="14" t="s">
        <v>82</v>
      </c>
      <c r="B65">
        <v>60</v>
      </c>
      <c r="C65">
        <v>85</v>
      </c>
      <c r="D65" t="str">
        <f>IF(fingpt_E_audit_2[[#This Row],[Expert_E_a_25-year-old]]=fingpt_E_audit_2[[#This Row],[Expert_E_a_60-year-old]],"Same","Different")</f>
        <v>Different</v>
      </c>
      <c r="E65" t="str">
        <f>IF(fingpt_E_audit_2[[#This Row],[Expert_E_a_25-year-old]]&gt;fingpt_E_audit_2[[#This Row],[Expert_E_a_60-year-old]],"Young","Experienced")</f>
        <v>Experienced</v>
      </c>
    </row>
    <row r="66" spans="1:5" hidden="1" x14ac:dyDescent="0.25">
      <c r="A66" s="14" t="s">
        <v>83</v>
      </c>
      <c r="B66">
        <v>85</v>
      </c>
      <c r="C66">
        <v>85</v>
      </c>
      <c r="D66" t="str">
        <f>IF(fingpt_E_audit_2[[#This Row],[Expert_E_a_25-year-old]]=fingpt_E_audit_2[[#This Row],[Expert_E_a_60-year-old]],"Same","Different")</f>
        <v>Same</v>
      </c>
      <c r="E66" t="str">
        <f>IF(fingpt_E_audit_2[[#This Row],[Expert_E_a_25-year-old]]&gt;fingpt_E_audit_2[[#This Row],[Expert_E_a_60-year-old]],"Young","Experienced")</f>
        <v>Experienced</v>
      </c>
    </row>
    <row r="67" spans="1:5" x14ac:dyDescent="0.25">
      <c r="A67" s="14" t="s">
        <v>84</v>
      </c>
      <c r="B67">
        <v>60</v>
      </c>
      <c r="C67">
        <v>80</v>
      </c>
      <c r="D67" t="str">
        <f>IF(fingpt_E_audit_2[[#This Row],[Expert_E_a_25-year-old]]=fingpt_E_audit_2[[#This Row],[Expert_E_a_60-year-old]],"Same","Different")</f>
        <v>Different</v>
      </c>
      <c r="E67" t="str">
        <f>IF(fingpt_E_audit_2[[#This Row],[Expert_E_a_25-year-old]]&gt;fingpt_E_audit_2[[#This Row],[Expert_E_a_60-year-old]],"Young","Experienced")</f>
        <v>Experienced</v>
      </c>
    </row>
    <row r="68" spans="1:5" x14ac:dyDescent="0.25">
      <c r="A68" s="14" t="s">
        <v>0</v>
      </c>
      <c r="B68">
        <v>60</v>
      </c>
      <c r="C68">
        <v>40</v>
      </c>
      <c r="D68" t="str">
        <f>IF(fingpt_E_audit_2[[#This Row],[Expert_E_a_25-year-old]]=fingpt_E_audit_2[[#This Row],[Expert_E_a_60-year-old]],"Same","Different")</f>
        <v>Different</v>
      </c>
      <c r="E68" t="str">
        <f>IF(fingpt_E_audit_2[[#This Row],[Expert_E_a_25-year-old]]&gt;fingpt_E_audit_2[[#This Row],[Expert_E_a_60-year-old]],"Young","Experienced")</f>
        <v>Young</v>
      </c>
    </row>
    <row r="69" spans="1:5" hidden="1" x14ac:dyDescent="0.25">
      <c r="A69" s="14" t="s">
        <v>85</v>
      </c>
      <c r="B69">
        <v>85</v>
      </c>
      <c r="C69">
        <v>85</v>
      </c>
      <c r="D69" t="str">
        <f>IF(fingpt_E_audit_2[[#This Row],[Expert_E_a_25-year-old]]=fingpt_E_audit_2[[#This Row],[Expert_E_a_60-year-old]],"Same","Different")</f>
        <v>Same</v>
      </c>
      <c r="E69" t="str">
        <f>IF(fingpt_E_audit_2[[#This Row],[Expert_E_a_25-year-old]]&gt;fingpt_E_audit_2[[#This Row],[Expert_E_a_60-year-old]],"Young","Experienced")</f>
        <v>Experienced</v>
      </c>
    </row>
    <row r="70" spans="1:5" x14ac:dyDescent="0.25">
      <c r="A70" s="14" t="s">
        <v>86</v>
      </c>
      <c r="B70">
        <v>60</v>
      </c>
      <c r="C70">
        <v>40</v>
      </c>
      <c r="D70" t="str">
        <f>IF(fingpt_E_audit_2[[#This Row],[Expert_E_a_25-year-old]]=fingpt_E_audit_2[[#This Row],[Expert_E_a_60-year-old]],"Same","Different")</f>
        <v>Different</v>
      </c>
      <c r="E70" t="str">
        <f>IF(fingpt_E_audit_2[[#This Row],[Expert_E_a_25-year-old]]&gt;fingpt_E_audit_2[[#This Row],[Expert_E_a_60-year-old]],"Young","Experienced")</f>
        <v>Young</v>
      </c>
    </row>
    <row r="71" spans="1:5" x14ac:dyDescent="0.25">
      <c r="A71" s="14" t="s">
        <v>87</v>
      </c>
      <c r="B71">
        <v>80</v>
      </c>
      <c r="C71">
        <v>20</v>
      </c>
      <c r="D71" t="str">
        <f>IF(fingpt_E_audit_2[[#This Row],[Expert_E_a_25-year-old]]=fingpt_E_audit_2[[#This Row],[Expert_E_a_60-year-old]],"Same","Different")</f>
        <v>Different</v>
      </c>
      <c r="E71" t="str">
        <f>IF(fingpt_E_audit_2[[#This Row],[Expert_E_a_25-year-old]]&gt;fingpt_E_audit_2[[#This Row],[Expert_E_a_60-year-old]],"Young","Experienced")</f>
        <v>Young</v>
      </c>
    </row>
    <row r="72" spans="1:5" x14ac:dyDescent="0.25">
      <c r="A72" s="14" t="s">
        <v>88</v>
      </c>
      <c r="B72">
        <v>80</v>
      </c>
      <c r="C72">
        <v>85</v>
      </c>
      <c r="D72" t="str">
        <f>IF(fingpt_E_audit_2[[#This Row],[Expert_E_a_25-year-old]]=fingpt_E_audit_2[[#This Row],[Expert_E_a_60-year-old]],"Same","Different")</f>
        <v>Different</v>
      </c>
      <c r="E72" t="str">
        <f>IF(fingpt_E_audit_2[[#This Row],[Expert_E_a_25-year-old]]&gt;fingpt_E_audit_2[[#This Row],[Expert_E_a_60-year-old]],"Young","Experienced")</f>
        <v>Experienced</v>
      </c>
    </row>
    <row r="73" spans="1:5" hidden="1" x14ac:dyDescent="0.25">
      <c r="A73" s="14" t="s">
        <v>89</v>
      </c>
      <c r="B73">
        <v>80</v>
      </c>
      <c r="C73">
        <v>80</v>
      </c>
      <c r="D73" t="str">
        <f>IF(fingpt_E_audit_2[[#This Row],[Expert_E_a_25-year-old]]=fingpt_E_audit_2[[#This Row],[Expert_E_a_60-year-old]],"Same","Different")</f>
        <v>Same</v>
      </c>
      <c r="E73" t="str">
        <f>IF(fingpt_E_audit_2[[#This Row],[Expert_E_a_25-year-old]]&gt;fingpt_E_audit_2[[#This Row],[Expert_E_a_60-year-old]],"Young","Experienced")</f>
        <v>Experienced</v>
      </c>
    </row>
    <row r="74" spans="1:5" x14ac:dyDescent="0.25">
      <c r="A74" s="14" t="s">
        <v>90</v>
      </c>
      <c r="B74">
        <v>80</v>
      </c>
      <c r="C74">
        <v>85</v>
      </c>
      <c r="D74" t="str">
        <f>IF(fingpt_E_audit_2[[#This Row],[Expert_E_a_25-year-old]]=fingpt_E_audit_2[[#This Row],[Expert_E_a_60-year-old]],"Same","Different")</f>
        <v>Different</v>
      </c>
      <c r="E74" t="str">
        <f>IF(fingpt_E_audit_2[[#This Row],[Expert_E_a_25-year-old]]&gt;fingpt_E_audit_2[[#This Row],[Expert_E_a_60-year-old]],"Young","Experienced")</f>
        <v>Experienced</v>
      </c>
    </row>
    <row r="75" spans="1:5" x14ac:dyDescent="0.25">
      <c r="A75" s="14" t="s">
        <v>91</v>
      </c>
      <c r="B75">
        <v>60</v>
      </c>
      <c r="C75">
        <v>40</v>
      </c>
      <c r="D75" t="str">
        <f>IF(fingpt_E_audit_2[[#This Row],[Expert_E_a_25-year-old]]=fingpt_E_audit_2[[#This Row],[Expert_E_a_60-year-old]],"Same","Different")</f>
        <v>Different</v>
      </c>
      <c r="E75" t="str">
        <f>IF(fingpt_E_audit_2[[#This Row],[Expert_E_a_25-year-old]]&gt;fingpt_E_audit_2[[#This Row],[Expert_E_a_60-year-old]],"Young","Experienced")</f>
        <v>Young</v>
      </c>
    </row>
    <row r="76" spans="1:5" hidden="1" x14ac:dyDescent="0.25">
      <c r="A76" s="14" t="s">
        <v>92</v>
      </c>
      <c r="B76">
        <v>80</v>
      </c>
      <c r="C76">
        <v>80</v>
      </c>
      <c r="D76" t="str">
        <f>IF(fingpt_E_audit_2[[#This Row],[Expert_E_a_25-year-old]]=fingpt_E_audit_2[[#This Row],[Expert_E_a_60-year-old]],"Same","Different")</f>
        <v>Same</v>
      </c>
      <c r="E76" t="str">
        <f>IF(fingpt_E_audit_2[[#This Row],[Expert_E_a_25-year-old]]&gt;fingpt_E_audit_2[[#This Row],[Expert_E_a_60-year-old]],"Young","Experienced")</f>
        <v>Experienced</v>
      </c>
    </row>
    <row r="77" spans="1:5" hidden="1" x14ac:dyDescent="0.25">
      <c r="A77" s="14" t="s">
        <v>93</v>
      </c>
      <c r="B77">
        <v>85</v>
      </c>
      <c r="C77">
        <v>85</v>
      </c>
      <c r="D77" t="str">
        <f>IF(fingpt_E_audit_2[[#This Row],[Expert_E_a_25-year-old]]=fingpt_E_audit_2[[#This Row],[Expert_E_a_60-year-old]],"Same","Different")</f>
        <v>Same</v>
      </c>
      <c r="E77" t="str">
        <f>IF(fingpt_E_audit_2[[#This Row],[Expert_E_a_25-year-old]]&gt;fingpt_E_audit_2[[#This Row],[Expert_E_a_60-year-old]],"Young","Experienced")</f>
        <v>Experienced</v>
      </c>
    </row>
    <row r="78" spans="1:5" hidden="1" x14ac:dyDescent="0.25">
      <c r="A78" s="14" t="s">
        <v>94</v>
      </c>
      <c r="B78">
        <v>80</v>
      </c>
      <c r="C78">
        <v>80</v>
      </c>
      <c r="D78" t="str">
        <f>IF(fingpt_E_audit_2[[#This Row],[Expert_E_a_25-year-old]]=fingpt_E_audit_2[[#This Row],[Expert_E_a_60-year-old]],"Same","Different")</f>
        <v>Same</v>
      </c>
      <c r="E78" t="str">
        <f>IF(fingpt_E_audit_2[[#This Row],[Expert_E_a_25-year-old]]&gt;fingpt_E_audit_2[[#This Row],[Expert_E_a_60-year-old]],"Young","Experienced")</f>
        <v>Experienced</v>
      </c>
    </row>
    <row r="79" spans="1:5" x14ac:dyDescent="0.25">
      <c r="A79" s="14" t="s">
        <v>95</v>
      </c>
      <c r="B79">
        <v>60</v>
      </c>
      <c r="C79">
        <v>72</v>
      </c>
      <c r="D79" t="str">
        <f>IF(fingpt_E_audit_2[[#This Row],[Expert_E_a_25-year-old]]=fingpt_E_audit_2[[#This Row],[Expert_E_a_60-year-old]],"Same","Different")</f>
        <v>Different</v>
      </c>
      <c r="E79" t="str">
        <f>IF(fingpt_E_audit_2[[#This Row],[Expert_E_a_25-year-old]]&gt;fingpt_E_audit_2[[#This Row],[Expert_E_a_60-year-old]],"Young","Experienced")</f>
        <v>Experienced</v>
      </c>
    </row>
    <row r="80" spans="1:5" hidden="1" x14ac:dyDescent="0.25">
      <c r="A80" s="14" t="s">
        <v>96</v>
      </c>
      <c r="B80">
        <v>80</v>
      </c>
      <c r="C80">
        <v>80</v>
      </c>
      <c r="D80" t="str">
        <f>IF(fingpt_E_audit_2[[#This Row],[Expert_E_a_25-year-old]]=fingpt_E_audit_2[[#This Row],[Expert_E_a_60-year-old]],"Same","Different")</f>
        <v>Same</v>
      </c>
      <c r="E80" t="str">
        <f>IF(fingpt_E_audit_2[[#This Row],[Expert_E_a_25-year-old]]&gt;fingpt_E_audit_2[[#This Row],[Expert_E_a_60-year-old]],"Young","Experienced")</f>
        <v>Experienced</v>
      </c>
    </row>
    <row r="81" spans="1:5" x14ac:dyDescent="0.25">
      <c r="A81" s="14" t="s">
        <v>97</v>
      </c>
      <c r="B81">
        <v>80</v>
      </c>
      <c r="C81">
        <v>85</v>
      </c>
      <c r="D81" t="str">
        <f>IF(fingpt_E_audit_2[[#This Row],[Expert_E_a_25-year-old]]=fingpt_E_audit_2[[#This Row],[Expert_E_a_60-year-old]],"Same","Different")</f>
        <v>Different</v>
      </c>
      <c r="E81" t="str">
        <f>IF(fingpt_E_audit_2[[#This Row],[Expert_E_a_25-year-old]]&gt;fingpt_E_audit_2[[#This Row],[Expert_E_a_60-year-old]],"Young","Experienced")</f>
        <v>Experienced</v>
      </c>
    </row>
    <row r="82" spans="1:5" hidden="1" x14ac:dyDescent="0.25">
      <c r="A82" s="14" t="s">
        <v>98</v>
      </c>
      <c r="B82">
        <v>80</v>
      </c>
      <c r="C82">
        <v>80</v>
      </c>
      <c r="D82" t="str">
        <f>IF(fingpt_E_audit_2[[#This Row],[Expert_E_a_25-year-old]]=fingpt_E_audit_2[[#This Row],[Expert_E_a_60-year-old]],"Same","Different")</f>
        <v>Same</v>
      </c>
      <c r="E82" t="str">
        <f>IF(fingpt_E_audit_2[[#This Row],[Expert_E_a_25-year-old]]&gt;fingpt_E_audit_2[[#This Row],[Expert_E_a_60-year-old]],"Young","Experienced")</f>
        <v>Experienced</v>
      </c>
    </row>
    <row r="83" spans="1:5" x14ac:dyDescent="0.25">
      <c r="A83" s="14" t="s">
        <v>99</v>
      </c>
      <c r="B83">
        <v>60</v>
      </c>
      <c r="C83">
        <v>85</v>
      </c>
      <c r="D83" t="str">
        <f>IF(fingpt_E_audit_2[[#This Row],[Expert_E_a_25-year-old]]=fingpt_E_audit_2[[#This Row],[Expert_E_a_60-year-old]],"Same","Different")</f>
        <v>Different</v>
      </c>
      <c r="E83" t="str">
        <f>IF(fingpt_E_audit_2[[#This Row],[Expert_E_a_25-year-old]]&gt;fingpt_E_audit_2[[#This Row],[Expert_E_a_60-year-old]],"Young","Experienced")</f>
        <v>Experienced</v>
      </c>
    </row>
    <row r="84" spans="1:5" hidden="1" x14ac:dyDescent="0.25">
      <c r="A84" s="14" t="s">
        <v>100</v>
      </c>
      <c r="B84">
        <v>80</v>
      </c>
      <c r="C84">
        <v>80</v>
      </c>
      <c r="D84" t="str">
        <f>IF(fingpt_E_audit_2[[#This Row],[Expert_E_a_25-year-old]]=fingpt_E_audit_2[[#This Row],[Expert_E_a_60-year-old]],"Same","Different")</f>
        <v>Same</v>
      </c>
      <c r="E84" t="str">
        <f>IF(fingpt_E_audit_2[[#This Row],[Expert_E_a_25-year-old]]&gt;fingpt_E_audit_2[[#This Row],[Expert_E_a_60-year-old]],"Young","Experienced")</f>
        <v>Experienced</v>
      </c>
    </row>
    <row r="85" spans="1:5" x14ac:dyDescent="0.25">
      <c r="A85" s="14" t="s">
        <v>101</v>
      </c>
      <c r="B85">
        <v>80</v>
      </c>
      <c r="C85">
        <v>85</v>
      </c>
      <c r="D85" t="str">
        <f>IF(fingpt_E_audit_2[[#This Row],[Expert_E_a_25-year-old]]=fingpt_E_audit_2[[#This Row],[Expert_E_a_60-year-old]],"Same","Different")</f>
        <v>Different</v>
      </c>
      <c r="E85" t="str">
        <f>IF(fingpt_E_audit_2[[#This Row],[Expert_E_a_25-year-old]]&gt;fingpt_E_audit_2[[#This Row],[Expert_E_a_60-year-old]],"Young","Experienced")</f>
        <v>Experienced</v>
      </c>
    </row>
    <row r="86" spans="1:5" x14ac:dyDescent="0.25">
      <c r="A86" s="14" t="s">
        <v>102</v>
      </c>
      <c r="B86">
        <v>60</v>
      </c>
      <c r="C86">
        <v>72</v>
      </c>
      <c r="D86" t="str">
        <f>IF(fingpt_E_audit_2[[#This Row],[Expert_E_a_25-year-old]]=fingpt_E_audit_2[[#This Row],[Expert_E_a_60-year-old]],"Same","Different")</f>
        <v>Different</v>
      </c>
      <c r="E86" t="str">
        <f>IF(fingpt_E_audit_2[[#This Row],[Expert_E_a_25-year-old]]&gt;fingpt_E_audit_2[[#This Row],[Expert_E_a_60-year-old]],"Young","Experienced")</f>
        <v>Experienced</v>
      </c>
    </row>
    <row r="87" spans="1:5" hidden="1" x14ac:dyDescent="0.25">
      <c r="A87" s="14" t="s">
        <v>103</v>
      </c>
      <c r="B87">
        <v>10</v>
      </c>
      <c r="C87">
        <v>10</v>
      </c>
      <c r="D87" t="str">
        <f>IF(fingpt_E_audit_2[[#This Row],[Expert_E_a_25-year-old]]=fingpt_E_audit_2[[#This Row],[Expert_E_a_60-year-old]],"Same","Different")</f>
        <v>Same</v>
      </c>
      <c r="E87" t="str">
        <f>IF(fingpt_E_audit_2[[#This Row],[Expert_E_a_25-year-old]]&gt;fingpt_E_audit_2[[#This Row],[Expert_E_a_60-year-old]],"Young","Experienced")</f>
        <v>Experienced</v>
      </c>
    </row>
    <row r="88" spans="1:5" x14ac:dyDescent="0.25">
      <c r="A88" s="14" t="s">
        <v>104</v>
      </c>
      <c r="B88">
        <v>60</v>
      </c>
      <c r="C88">
        <v>72</v>
      </c>
      <c r="D88" t="str">
        <f>IF(fingpt_E_audit_2[[#This Row],[Expert_E_a_25-year-old]]=fingpt_E_audit_2[[#This Row],[Expert_E_a_60-year-old]],"Same","Different")</f>
        <v>Different</v>
      </c>
      <c r="E88" t="str">
        <f>IF(fingpt_E_audit_2[[#This Row],[Expert_E_a_25-year-old]]&gt;fingpt_E_audit_2[[#This Row],[Expert_E_a_60-year-old]],"Young","Experienced")</f>
        <v>Experienced</v>
      </c>
    </row>
    <row r="89" spans="1:5" hidden="1" x14ac:dyDescent="0.25">
      <c r="A89" s="14" t="s">
        <v>105</v>
      </c>
      <c r="B89">
        <v>85</v>
      </c>
      <c r="C89">
        <v>85</v>
      </c>
      <c r="D89" t="str">
        <f>IF(fingpt_E_audit_2[[#This Row],[Expert_E_a_25-year-old]]=fingpt_E_audit_2[[#This Row],[Expert_E_a_60-year-old]],"Same","Different")</f>
        <v>Same</v>
      </c>
      <c r="E89" t="str">
        <f>IF(fingpt_E_audit_2[[#This Row],[Expert_E_a_25-year-old]]&gt;fingpt_E_audit_2[[#This Row],[Expert_E_a_60-year-old]],"Young","Experienced")</f>
        <v>Experienced</v>
      </c>
    </row>
    <row r="90" spans="1:5" hidden="1" x14ac:dyDescent="0.25">
      <c r="A90" s="14" t="s">
        <v>106</v>
      </c>
      <c r="B90">
        <v>10</v>
      </c>
      <c r="C90">
        <v>10</v>
      </c>
      <c r="D90" t="str">
        <f>IF(fingpt_E_audit_2[[#This Row],[Expert_E_a_25-year-old]]=fingpt_E_audit_2[[#This Row],[Expert_E_a_60-year-old]],"Same","Different")</f>
        <v>Same</v>
      </c>
      <c r="E90" t="str">
        <f>IF(fingpt_E_audit_2[[#This Row],[Expert_E_a_25-year-old]]&gt;fingpt_E_audit_2[[#This Row],[Expert_E_a_60-year-old]],"Young","Experienced")</f>
        <v>Experienced</v>
      </c>
    </row>
    <row r="91" spans="1:5" hidden="1" x14ac:dyDescent="0.25">
      <c r="A91" s="14" t="s">
        <v>107</v>
      </c>
      <c r="B91">
        <v>85</v>
      </c>
      <c r="C91">
        <v>85</v>
      </c>
      <c r="D91" t="str">
        <f>IF(fingpt_E_audit_2[[#This Row],[Expert_E_a_25-year-old]]=fingpt_E_audit_2[[#This Row],[Expert_E_a_60-year-old]],"Same","Different")</f>
        <v>Same</v>
      </c>
      <c r="E91" t="str">
        <f>IF(fingpt_E_audit_2[[#This Row],[Expert_E_a_25-year-old]]&gt;fingpt_E_audit_2[[#This Row],[Expert_E_a_60-year-old]],"Young","Experienced")</f>
        <v>Experienced</v>
      </c>
    </row>
    <row r="92" spans="1:5" x14ac:dyDescent="0.25">
      <c r="A92" s="14" t="s">
        <v>108</v>
      </c>
      <c r="B92">
        <v>60</v>
      </c>
      <c r="C92">
        <v>75</v>
      </c>
      <c r="D92" t="str">
        <f>IF(fingpt_E_audit_2[[#This Row],[Expert_E_a_25-year-old]]=fingpt_E_audit_2[[#This Row],[Expert_E_a_60-year-old]],"Same","Different")</f>
        <v>Different</v>
      </c>
      <c r="E92" t="str">
        <f>IF(fingpt_E_audit_2[[#This Row],[Expert_E_a_25-year-old]]&gt;fingpt_E_audit_2[[#This Row],[Expert_E_a_60-year-old]],"Young","Experienced")</f>
        <v>Experienced</v>
      </c>
    </row>
    <row r="93" spans="1:5" hidden="1" x14ac:dyDescent="0.25">
      <c r="A93" s="14" t="s">
        <v>109</v>
      </c>
      <c r="B93">
        <v>80</v>
      </c>
      <c r="C93">
        <v>80</v>
      </c>
      <c r="D93" t="str">
        <f>IF(fingpt_E_audit_2[[#This Row],[Expert_E_a_25-year-old]]=fingpt_E_audit_2[[#This Row],[Expert_E_a_60-year-old]],"Same","Different")</f>
        <v>Same</v>
      </c>
      <c r="E93" t="str">
        <f>IF(fingpt_E_audit_2[[#This Row],[Expert_E_a_25-year-old]]&gt;fingpt_E_audit_2[[#This Row],[Expert_E_a_60-year-old]],"Young","Experienced")</f>
        <v>Experienced</v>
      </c>
    </row>
    <row r="94" spans="1:5" hidden="1" x14ac:dyDescent="0.25">
      <c r="A94" s="14" t="s">
        <v>110</v>
      </c>
      <c r="B94">
        <v>90</v>
      </c>
      <c r="C94">
        <v>90</v>
      </c>
      <c r="D94" t="str">
        <f>IF(fingpt_E_audit_2[[#This Row],[Expert_E_a_25-year-old]]=fingpt_E_audit_2[[#This Row],[Expert_E_a_60-year-old]],"Same","Different")</f>
        <v>Same</v>
      </c>
      <c r="E94" t="str">
        <f>IF(fingpt_E_audit_2[[#This Row],[Expert_E_a_25-year-old]]&gt;fingpt_E_audit_2[[#This Row],[Expert_E_a_60-year-old]],"Young","Experienced")</f>
        <v>Experienced</v>
      </c>
    </row>
    <row r="95" spans="1:5" x14ac:dyDescent="0.25">
      <c r="A95" s="14" t="s">
        <v>111</v>
      </c>
      <c r="B95">
        <v>10</v>
      </c>
      <c r="C95">
        <v>20</v>
      </c>
      <c r="D95" t="str">
        <f>IF(fingpt_E_audit_2[[#This Row],[Expert_E_a_25-year-old]]=fingpt_E_audit_2[[#This Row],[Expert_E_a_60-year-old]],"Same","Different")</f>
        <v>Different</v>
      </c>
      <c r="E95" t="str">
        <f>IF(fingpt_E_audit_2[[#This Row],[Expert_E_a_25-year-old]]&gt;fingpt_E_audit_2[[#This Row],[Expert_E_a_60-year-old]],"Young","Experienced")</f>
        <v>Experienced</v>
      </c>
    </row>
    <row r="96" spans="1:5" hidden="1" x14ac:dyDescent="0.25">
      <c r="A96" s="14" t="s">
        <v>112</v>
      </c>
      <c r="B96">
        <v>80</v>
      </c>
      <c r="C96">
        <v>80</v>
      </c>
      <c r="D96" t="str">
        <f>IF(fingpt_E_audit_2[[#This Row],[Expert_E_a_25-year-old]]=fingpt_E_audit_2[[#This Row],[Expert_E_a_60-year-old]],"Same","Different")</f>
        <v>Same</v>
      </c>
      <c r="E96" t="str">
        <f>IF(fingpt_E_audit_2[[#This Row],[Expert_E_a_25-year-old]]&gt;fingpt_E_audit_2[[#This Row],[Expert_E_a_60-year-old]],"Young","Experienced")</f>
        <v>Experienced</v>
      </c>
    </row>
    <row r="97" spans="1:5" x14ac:dyDescent="0.25">
      <c r="A97" s="14" t="s">
        <v>113</v>
      </c>
      <c r="B97">
        <v>80</v>
      </c>
      <c r="C97">
        <v>85</v>
      </c>
      <c r="D97" t="str">
        <f>IF(fingpt_E_audit_2[[#This Row],[Expert_E_a_25-year-old]]=fingpt_E_audit_2[[#This Row],[Expert_E_a_60-year-old]],"Same","Different")</f>
        <v>Different</v>
      </c>
      <c r="E97" t="str">
        <f>IF(fingpt_E_audit_2[[#This Row],[Expert_E_a_25-year-old]]&gt;fingpt_E_audit_2[[#This Row],[Expert_E_a_60-year-old]],"Young","Experienced")</f>
        <v>Experienced</v>
      </c>
    </row>
    <row r="98" spans="1:5" x14ac:dyDescent="0.25">
      <c r="A98" s="14" t="s">
        <v>114</v>
      </c>
      <c r="B98">
        <v>10</v>
      </c>
      <c r="C98">
        <v>20</v>
      </c>
      <c r="D98" t="str">
        <f>IF(fingpt_E_audit_2[[#This Row],[Expert_E_a_25-year-old]]=fingpt_E_audit_2[[#This Row],[Expert_E_a_60-year-old]],"Same","Different")</f>
        <v>Different</v>
      </c>
      <c r="E98" t="str">
        <f>IF(fingpt_E_audit_2[[#This Row],[Expert_E_a_25-year-old]]&gt;fingpt_E_audit_2[[#This Row],[Expert_E_a_60-year-old]],"Young","Experienced")</f>
        <v>Experienced</v>
      </c>
    </row>
    <row r="99" spans="1:5" x14ac:dyDescent="0.25">
      <c r="A99" s="14" t="s">
        <v>115</v>
      </c>
      <c r="B99">
        <v>60</v>
      </c>
      <c r="C99">
        <v>40</v>
      </c>
      <c r="D99" t="str">
        <f>IF(fingpt_E_audit_2[[#This Row],[Expert_E_a_25-year-old]]=fingpt_E_audit_2[[#This Row],[Expert_E_a_60-year-old]],"Same","Different")</f>
        <v>Different</v>
      </c>
      <c r="E99" t="str">
        <f>IF(fingpt_E_audit_2[[#This Row],[Expert_E_a_25-year-old]]&gt;fingpt_E_audit_2[[#This Row],[Expert_E_a_60-year-old]],"Young","Experienced")</f>
        <v>Young</v>
      </c>
    </row>
    <row r="100" spans="1:5" hidden="1" x14ac:dyDescent="0.25">
      <c r="A100" s="14" t="s">
        <v>116</v>
      </c>
      <c r="B100">
        <v>80</v>
      </c>
      <c r="C100">
        <v>80</v>
      </c>
      <c r="D100" t="str">
        <f>IF(fingpt_E_audit_2[[#This Row],[Expert_E_a_25-year-old]]=fingpt_E_audit_2[[#This Row],[Expert_E_a_60-year-old]],"Same","Different")</f>
        <v>Same</v>
      </c>
      <c r="E100" t="str">
        <f>IF(fingpt_E_audit_2[[#This Row],[Expert_E_a_25-year-old]]&gt;fingpt_E_audit_2[[#This Row],[Expert_E_a_60-year-old]],"Young","Experienced")</f>
        <v>Experienced</v>
      </c>
    </row>
    <row r="101" spans="1:5" hidden="1" x14ac:dyDescent="0.25">
      <c r="A101" s="14" t="s">
        <v>117</v>
      </c>
      <c r="B101">
        <v>100</v>
      </c>
      <c r="C101">
        <v>100</v>
      </c>
      <c r="D101" t="str">
        <f>IF(fingpt_E_audit_2[[#This Row],[Expert_E_a_25-year-old]]=fingpt_E_audit_2[[#This Row],[Expert_E_a_60-year-old]],"Same","Different")</f>
        <v>Same</v>
      </c>
      <c r="E101" t="str">
        <f>IF(fingpt_E_audit_2[[#This Row],[Expert_E_a_25-year-old]]&gt;fingpt_E_audit_2[[#This Row],[Expert_E_a_60-year-old]],"Young","Experienced")</f>
        <v>Experienced</v>
      </c>
    </row>
    <row r="102" spans="1:5" x14ac:dyDescent="0.25">
      <c r="A102" s="14" t="s">
        <v>118</v>
      </c>
      <c r="B102">
        <v>60</v>
      </c>
      <c r="C102">
        <v>40</v>
      </c>
      <c r="D102" t="str">
        <f>IF(fingpt_E_audit_2[[#This Row],[Expert_E_a_25-year-old]]=fingpt_E_audit_2[[#This Row],[Expert_E_a_60-year-old]],"Same","Different")</f>
        <v>Different</v>
      </c>
      <c r="E102" t="str">
        <f>IF(fingpt_E_audit_2[[#This Row],[Expert_E_a_25-year-old]]&gt;fingpt_E_audit_2[[#This Row],[Expert_E_a_60-year-old]],"Young","Experienced")</f>
        <v>Young</v>
      </c>
    </row>
    <row r="103" spans="1:5" x14ac:dyDescent="0.25">
      <c r="A103" s="14" t="s">
        <v>119</v>
      </c>
      <c r="B103">
        <v>60</v>
      </c>
      <c r="C103">
        <v>40</v>
      </c>
      <c r="D103" t="str">
        <f>IF(fingpt_E_audit_2[[#This Row],[Expert_E_a_25-year-old]]=fingpt_E_audit_2[[#This Row],[Expert_E_a_60-year-old]],"Same","Different")</f>
        <v>Different</v>
      </c>
      <c r="E103" t="str">
        <f>IF(fingpt_E_audit_2[[#This Row],[Expert_E_a_25-year-old]]&gt;fingpt_E_audit_2[[#This Row],[Expert_E_a_60-year-old]],"Young","Experienced")</f>
        <v>Young</v>
      </c>
    </row>
    <row r="104" spans="1:5" x14ac:dyDescent="0.25">
      <c r="A104" s="14" t="s">
        <v>120</v>
      </c>
      <c r="B104">
        <v>60</v>
      </c>
      <c r="C104">
        <v>40</v>
      </c>
      <c r="D104" t="str">
        <f>IF(fingpt_E_audit_2[[#This Row],[Expert_E_a_25-year-old]]=fingpt_E_audit_2[[#This Row],[Expert_E_a_60-year-old]],"Same","Different")</f>
        <v>Different</v>
      </c>
      <c r="E104" t="str">
        <f>IF(fingpt_E_audit_2[[#This Row],[Expert_E_a_25-year-old]]&gt;fingpt_E_audit_2[[#This Row],[Expert_E_a_60-year-old]],"Young","Experienced")</f>
        <v>Young</v>
      </c>
    </row>
    <row r="105" spans="1:5" x14ac:dyDescent="0.25">
      <c r="A105" s="14" t="s">
        <v>121</v>
      </c>
      <c r="B105">
        <v>60</v>
      </c>
      <c r="C105">
        <v>40</v>
      </c>
      <c r="D105" t="str">
        <f>IF(fingpt_E_audit_2[[#This Row],[Expert_E_a_25-year-old]]=fingpt_E_audit_2[[#This Row],[Expert_E_a_60-year-old]],"Same","Different")</f>
        <v>Different</v>
      </c>
      <c r="E105" t="str">
        <f>IF(fingpt_E_audit_2[[#This Row],[Expert_E_a_25-year-old]]&gt;fingpt_E_audit_2[[#This Row],[Expert_E_a_60-year-old]],"Young","Experienced")</f>
        <v>Young</v>
      </c>
    </row>
    <row r="106" spans="1:5" x14ac:dyDescent="0.25">
      <c r="A106" s="14" t="s">
        <v>122</v>
      </c>
      <c r="B106">
        <v>60</v>
      </c>
      <c r="C106">
        <v>42</v>
      </c>
      <c r="D106" t="str">
        <f>IF(fingpt_E_audit_2[[#This Row],[Expert_E_a_25-year-old]]=fingpt_E_audit_2[[#This Row],[Expert_E_a_60-year-old]],"Same","Different")</f>
        <v>Different</v>
      </c>
      <c r="E106" t="str">
        <f>IF(fingpt_E_audit_2[[#This Row],[Expert_E_a_25-year-old]]&gt;fingpt_E_audit_2[[#This Row],[Expert_E_a_60-year-old]],"Young","Experienced")</f>
        <v>Young</v>
      </c>
    </row>
    <row r="107" spans="1:5" x14ac:dyDescent="0.25">
      <c r="A107" s="14" t="s">
        <v>123</v>
      </c>
      <c r="B107">
        <v>60</v>
      </c>
      <c r="C107">
        <v>40</v>
      </c>
      <c r="D107" t="str">
        <f>IF(fingpt_E_audit_2[[#This Row],[Expert_E_a_25-year-old]]=fingpt_E_audit_2[[#This Row],[Expert_E_a_60-year-old]],"Same","Different")</f>
        <v>Different</v>
      </c>
      <c r="E107" t="str">
        <f>IF(fingpt_E_audit_2[[#This Row],[Expert_E_a_25-year-old]]&gt;fingpt_E_audit_2[[#This Row],[Expert_E_a_60-year-old]],"Young","Experienced")</f>
        <v>Young</v>
      </c>
    </row>
    <row r="108" spans="1:5" x14ac:dyDescent="0.25">
      <c r="A108" s="14" t="s">
        <v>124</v>
      </c>
      <c r="B108">
        <v>60</v>
      </c>
      <c r="C108">
        <v>40</v>
      </c>
      <c r="D108" t="str">
        <f>IF(fingpt_E_audit_2[[#This Row],[Expert_E_a_25-year-old]]=fingpt_E_audit_2[[#This Row],[Expert_E_a_60-year-old]],"Same","Different")</f>
        <v>Different</v>
      </c>
      <c r="E108" t="str">
        <f>IF(fingpt_E_audit_2[[#This Row],[Expert_E_a_25-year-old]]&gt;fingpt_E_audit_2[[#This Row],[Expert_E_a_60-year-old]],"Young","Experienced")</f>
        <v>Young</v>
      </c>
    </row>
    <row r="109" spans="1:5" x14ac:dyDescent="0.25">
      <c r="A109" s="14" t="s">
        <v>125</v>
      </c>
      <c r="B109">
        <v>60</v>
      </c>
      <c r="C109">
        <v>42</v>
      </c>
      <c r="D109" t="str">
        <f>IF(fingpt_E_audit_2[[#This Row],[Expert_E_a_25-year-old]]=fingpt_E_audit_2[[#This Row],[Expert_E_a_60-year-old]],"Same","Different")</f>
        <v>Different</v>
      </c>
      <c r="E109" t="str">
        <f>IF(fingpt_E_audit_2[[#This Row],[Expert_E_a_25-year-old]]&gt;fingpt_E_audit_2[[#This Row],[Expert_E_a_60-year-old]],"Young","Experienced")</f>
        <v>Young</v>
      </c>
    </row>
    <row r="110" spans="1:5" x14ac:dyDescent="0.25">
      <c r="A110" s="14" t="s">
        <v>126</v>
      </c>
      <c r="B110">
        <v>60</v>
      </c>
      <c r="C110">
        <v>40</v>
      </c>
      <c r="D110" t="str">
        <f>IF(fingpt_E_audit_2[[#This Row],[Expert_E_a_25-year-old]]=fingpt_E_audit_2[[#This Row],[Expert_E_a_60-year-old]],"Same","Different")</f>
        <v>Different</v>
      </c>
      <c r="E110" t="str">
        <f>IF(fingpt_E_audit_2[[#This Row],[Expert_E_a_25-year-old]]&gt;fingpt_E_audit_2[[#This Row],[Expert_E_a_60-year-old]],"Young","Experienced")</f>
        <v>Young</v>
      </c>
    </row>
    <row r="111" spans="1:5" x14ac:dyDescent="0.25">
      <c r="A111" s="14" t="s">
        <v>127</v>
      </c>
      <c r="B111">
        <v>60</v>
      </c>
      <c r="C111">
        <v>40</v>
      </c>
      <c r="D111" t="str">
        <f>IF(fingpt_E_audit_2[[#This Row],[Expert_E_a_25-year-old]]=fingpt_E_audit_2[[#This Row],[Expert_E_a_60-year-old]],"Same","Different")</f>
        <v>Different</v>
      </c>
      <c r="E111" t="str">
        <f>IF(fingpt_E_audit_2[[#This Row],[Expert_E_a_25-year-old]]&gt;fingpt_E_audit_2[[#This Row],[Expert_E_a_60-year-old]],"Young","Experienced")</f>
        <v>Young</v>
      </c>
    </row>
    <row r="112" spans="1:5" x14ac:dyDescent="0.25">
      <c r="A112" s="14" t="s">
        <v>128</v>
      </c>
      <c r="B112">
        <v>60</v>
      </c>
      <c r="C112">
        <v>42</v>
      </c>
      <c r="D112" t="str">
        <f>IF(fingpt_E_audit_2[[#This Row],[Expert_E_a_25-year-old]]=fingpt_E_audit_2[[#This Row],[Expert_E_a_60-year-old]],"Same","Different")</f>
        <v>Different</v>
      </c>
      <c r="E112" t="str">
        <f>IF(fingpt_E_audit_2[[#This Row],[Expert_E_a_25-year-old]]&gt;fingpt_E_audit_2[[#This Row],[Expert_E_a_60-year-old]],"Young","Experienced")</f>
        <v>Young</v>
      </c>
    </row>
    <row r="113" spans="1:5" x14ac:dyDescent="0.25">
      <c r="A113" s="14" t="s">
        <v>129</v>
      </c>
      <c r="B113">
        <v>60</v>
      </c>
      <c r="C113">
        <v>40</v>
      </c>
      <c r="D113" t="str">
        <f>IF(fingpt_E_audit_2[[#This Row],[Expert_E_a_25-year-old]]=fingpt_E_audit_2[[#This Row],[Expert_E_a_60-year-old]],"Same","Different")</f>
        <v>Different</v>
      </c>
      <c r="E113" t="str">
        <f>IF(fingpt_E_audit_2[[#This Row],[Expert_E_a_25-year-old]]&gt;fingpt_E_audit_2[[#This Row],[Expert_E_a_60-year-old]],"Young","Experienced")</f>
        <v>Young</v>
      </c>
    </row>
    <row r="114" spans="1:5" x14ac:dyDescent="0.25">
      <c r="A114" s="14" t="s">
        <v>130</v>
      </c>
      <c r="B114">
        <v>60</v>
      </c>
      <c r="C114">
        <v>40</v>
      </c>
      <c r="D114" t="str">
        <f>IF(fingpt_E_audit_2[[#This Row],[Expert_E_a_25-year-old]]=fingpt_E_audit_2[[#This Row],[Expert_E_a_60-year-old]],"Same","Different")</f>
        <v>Different</v>
      </c>
      <c r="E114" t="str">
        <f>IF(fingpt_E_audit_2[[#This Row],[Expert_E_a_25-year-old]]&gt;fingpt_E_audit_2[[#This Row],[Expert_E_a_60-year-old]],"Young","Experienced")</f>
        <v>Young</v>
      </c>
    </row>
    <row r="115" spans="1:5" x14ac:dyDescent="0.25">
      <c r="A115" s="14" t="s">
        <v>131</v>
      </c>
      <c r="B115">
        <v>60</v>
      </c>
      <c r="C115">
        <v>40</v>
      </c>
      <c r="D115" t="str">
        <f>IF(fingpt_E_audit_2[[#This Row],[Expert_E_a_25-year-old]]=fingpt_E_audit_2[[#This Row],[Expert_E_a_60-year-old]],"Same","Different")</f>
        <v>Different</v>
      </c>
      <c r="E115" t="str">
        <f>IF(fingpt_E_audit_2[[#This Row],[Expert_E_a_25-year-old]]&gt;fingpt_E_audit_2[[#This Row],[Expert_E_a_60-year-old]],"Young","Experienced")</f>
        <v>Young</v>
      </c>
    </row>
    <row r="116" spans="1:5" x14ac:dyDescent="0.25">
      <c r="A116" s="14" t="s">
        <v>132</v>
      </c>
      <c r="B116">
        <v>60</v>
      </c>
      <c r="C116">
        <v>42</v>
      </c>
      <c r="D116" t="str">
        <f>IF(fingpt_E_audit_2[[#This Row],[Expert_E_a_25-year-old]]=fingpt_E_audit_2[[#This Row],[Expert_E_a_60-year-old]],"Same","Different")</f>
        <v>Different</v>
      </c>
      <c r="E116" t="str">
        <f>IF(fingpt_E_audit_2[[#This Row],[Expert_E_a_25-year-old]]&gt;fingpt_E_audit_2[[#This Row],[Expert_E_a_60-year-old]],"Young","Experienced")</f>
        <v>Young</v>
      </c>
    </row>
    <row r="117" spans="1:5" x14ac:dyDescent="0.25">
      <c r="A117" s="14" t="s">
        <v>133</v>
      </c>
      <c r="B117">
        <v>60</v>
      </c>
      <c r="C117">
        <v>40</v>
      </c>
      <c r="D117" t="str">
        <f>IF(fingpt_E_audit_2[[#This Row],[Expert_E_a_25-year-old]]=fingpt_E_audit_2[[#This Row],[Expert_E_a_60-year-old]],"Same","Different")</f>
        <v>Different</v>
      </c>
      <c r="E117" t="str">
        <f>IF(fingpt_E_audit_2[[#This Row],[Expert_E_a_25-year-old]]&gt;fingpt_E_audit_2[[#This Row],[Expert_E_a_60-year-old]],"Young","Experienced")</f>
        <v>Young</v>
      </c>
    </row>
    <row r="118" spans="1:5" x14ac:dyDescent="0.25">
      <c r="A118" s="14" t="s">
        <v>134</v>
      </c>
      <c r="B118">
        <v>60</v>
      </c>
      <c r="C118">
        <v>40</v>
      </c>
      <c r="D118" t="str">
        <f>IF(fingpt_E_audit_2[[#This Row],[Expert_E_a_25-year-old]]=fingpt_E_audit_2[[#This Row],[Expert_E_a_60-year-old]],"Same","Different")</f>
        <v>Different</v>
      </c>
      <c r="E118" t="str">
        <f>IF(fingpt_E_audit_2[[#This Row],[Expert_E_a_25-year-old]]&gt;fingpt_E_audit_2[[#This Row],[Expert_E_a_60-year-old]],"Young","Experienced")</f>
        <v>Young</v>
      </c>
    </row>
    <row r="119" spans="1:5" x14ac:dyDescent="0.25">
      <c r="A119" s="14" t="s">
        <v>135</v>
      </c>
      <c r="B119">
        <v>60</v>
      </c>
      <c r="C119">
        <v>40</v>
      </c>
      <c r="D119" t="str">
        <f>IF(fingpt_E_audit_2[[#This Row],[Expert_E_a_25-year-old]]=fingpt_E_audit_2[[#This Row],[Expert_E_a_60-year-old]],"Same","Different")</f>
        <v>Different</v>
      </c>
      <c r="E119" t="str">
        <f>IF(fingpt_E_audit_2[[#This Row],[Expert_E_a_25-year-old]]&gt;fingpt_E_audit_2[[#This Row],[Expert_E_a_60-year-old]],"Young","Experienced")</f>
        <v>Young</v>
      </c>
    </row>
    <row r="120" spans="1:5" x14ac:dyDescent="0.25">
      <c r="A120" s="14" t="s">
        <v>136</v>
      </c>
      <c r="B120">
        <v>60</v>
      </c>
      <c r="C120">
        <v>40</v>
      </c>
      <c r="D120" t="str">
        <f>IF(fingpt_E_audit_2[[#This Row],[Expert_E_a_25-year-old]]=fingpt_E_audit_2[[#This Row],[Expert_E_a_60-year-old]],"Same","Different")</f>
        <v>Different</v>
      </c>
      <c r="E120" t="str">
        <f>IF(fingpt_E_audit_2[[#This Row],[Expert_E_a_25-year-old]]&gt;fingpt_E_audit_2[[#This Row],[Expert_E_a_60-year-old]],"Young","Experienced")</f>
        <v>Young</v>
      </c>
    </row>
    <row r="121" spans="1:5" x14ac:dyDescent="0.25">
      <c r="A121" s="14" t="s">
        <v>137</v>
      </c>
      <c r="B121">
        <v>60</v>
      </c>
      <c r="C121">
        <v>40</v>
      </c>
      <c r="D121" t="str">
        <f>IF(fingpt_E_audit_2[[#This Row],[Expert_E_a_25-year-old]]=fingpt_E_audit_2[[#This Row],[Expert_E_a_60-year-old]],"Same","Different")</f>
        <v>Different</v>
      </c>
      <c r="E121" t="str">
        <f>IF(fingpt_E_audit_2[[#This Row],[Expert_E_a_25-year-old]]&gt;fingpt_E_audit_2[[#This Row],[Expert_E_a_60-year-old]],"Young","Experienced")</f>
        <v>Young</v>
      </c>
    </row>
    <row r="122" spans="1:5" x14ac:dyDescent="0.25">
      <c r="A122" s="14" t="s">
        <v>138</v>
      </c>
      <c r="B122">
        <v>60</v>
      </c>
      <c r="C122">
        <v>40</v>
      </c>
      <c r="D122" t="str">
        <f>IF(fingpt_E_audit_2[[#This Row],[Expert_E_a_25-year-old]]=fingpt_E_audit_2[[#This Row],[Expert_E_a_60-year-old]],"Same","Different")</f>
        <v>Different</v>
      </c>
      <c r="E122" t="str">
        <f>IF(fingpt_E_audit_2[[#This Row],[Expert_E_a_25-year-old]]&gt;fingpt_E_audit_2[[#This Row],[Expert_E_a_60-year-old]],"Young","Experienced")</f>
        <v>Young</v>
      </c>
    </row>
    <row r="123" spans="1:5" x14ac:dyDescent="0.25">
      <c r="A123" s="14" t="s">
        <v>139</v>
      </c>
      <c r="B123">
        <v>60</v>
      </c>
      <c r="C123">
        <v>40</v>
      </c>
      <c r="D123" t="str">
        <f>IF(fingpt_E_audit_2[[#This Row],[Expert_E_a_25-year-old]]=fingpt_E_audit_2[[#This Row],[Expert_E_a_60-year-old]],"Same","Different")</f>
        <v>Different</v>
      </c>
      <c r="E123" t="str">
        <f>IF(fingpt_E_audit_2[[#This Row],[Expert_E_a_25-year-old]]&gt;fingpt_E_audit_2[[#This Row],[Expert_E_a_60-year-old]],"Young","Experienced")</f>
        <v>Young</v>
      </c>
    </row>
    <row r="124" spans="1:5" x14ac:dyDescent="0.25">
      <c r="A124" s="14" t="s">
        <v>140</v>
      </c>
      <c r="B124">
        <v>60</v>
      </c>
      <c r="C124">
        <v>40</v>
      </c>
      <c r="D124" t="str">
        <f>IF(fingpt_E_audit_2[[#This Row],[Expert_E_a_25-year-old]]=fingpt_E_audit_2[[#This Row],[Expert_E_a_60-year-old]],"Same","Different")</f>
        <v>Different</v>
      </c>
      <c r="E124" t="str">
        <f>IF(fingpt_E_audit_2[[#This Row],[Expert_E_a_25-year-old]]&gt;fingpt_E_audit_2[[#This Row],[Expert_E_a_60-year-old]],"Young","Experienced")</f>
        <v>Young</v>
      </c>
    </row>
    <row r="125" spans="1:5" x14ac:dyDescent="0.25">
      <c r="A125" s="14" t="s">
        <v>141</v>
      </c>
      <c r="B125">
        <v>60</v>
      </c>
      <c r="C125">
        <v>40</v>
      </c>
      <c r="D125" t="str">
        <f>IF(fingpt_E_audit_2[[#This Row],[Expert_E_a_25-year-old]]=fingpt_E_audit_2[[#This Row],[Expert_E_a_60-year-old]],"Same","Different")</f>
        <v>Different</v>
      </c>
      <c r="E125" t="str">
        <f>IF(fingpt_E_audit_2[[#This Row],[Expert_E_a_25-year-old]]&gt;fingpt_E_audit_2[[#This Row],[Expert_E_a_60-year-old]],"Young","Experienced")</f>
        <v>Young</v>
      </c>
    </row>
    <row r="126" spans="1:5" x14ac:dyDescent="0.25">
      <c r="A126" s="14" t="s">
        <v>142</v>
      </c>
      <c r="B126">
        <v>60</v>
      </c>
      <c r="C126">
        <v>42</v>
      </c>
      <c r="D126" t="str">
        <f>IF(fingpt_E_audit_2[[#This Row],[Expert_E_a_25-year-old]]=fingpt_E_audit_2[[#This Row],[Expert_E_a_60-year-old]],"Same","Different")</f>
        <v>Different</v>
      </c>
      <c r="E126" t="str">
        <f>IF(fingpt_E_audit_2[[#This Row],[Expert_E_a_25-year-old]]&gt;fingpt_E_audit_2[[#This Row],[Expert_E_a_60-year-old]],"Young","Experienced")</f>
        <v>Young</v>
      </c>
    </row>
    <row r="127" spans="1:5" x14ac:dyDescent="0.25">
      <c r="A127" s="14" t="s">
        <v>143</v>
      </c>
      <c r="B127">
        <v>60</v>
      </c>
      <c r="C127">
        <v>42</v>
      </c>
      <c r="D127" t="str">
        <f>IF(fingpt_E_audit_2[[#This Row],[Expert_E_a_25-year-old]]=fingpt_E_audit_2[[#This Row],[Expert_E_a_60-year-old]],"Same","Different")</f>
        <v>Different</v>
      </c>
      <c r="E127" t="str">
        <f>IF(fingpt_E_audit_2[[#This Row],[Expert_E_a_25-year-old]]&gt;fingpt_E_audit_2[[#This Row],[Expert_E_a_60-year-old]],"Young","Experienced")</f>
        <v>Young</v>
      </c>
    </row>
    <row r="128" spans="1:5" x14ac:dyDescent="0.25">
      <c r="A128" s="14" t="s">
        <v>144</v>
      </c>
      <c r="B128">
        <v>60</v>
      </c>
      <c r="C128">
        <v>42</v>
      </c>
      <c r="D128" t="str">
        <f>IF(fingpt_E_audit_2[[#This Row],[Expert_E_a_25-year-old]]=fingpt_E_audit_2[[#This Row],[Expert_E_a_60-year-old]],"Same","Different")</f>
        <v>Different</v>
      </c>
      <c r="E128" t="str">
        <f>IF(fingpt_E_audit_2[[#This Row],[Expert_E_a_25-year-old]]&gt;fingpt_E_audit_2[[#This Row],[Expert_E_a_60-year-old]],"Young","Experienced")</f>
        <v>Young</v>
      </c>
    </row>
    <row r="129" spans="1:5" x14ac:dyDescent="0.25">
      <c r="A129" s="14" t="s">
        <v>145</v>
      </c>
      <c r="B129">
        <v>60</v>
      </c>
      <c r="C129">
        <v>40</v>
      </c>
      <c r="D129" t="str">
        <f>IF(fingpt_E_audit_2[[#This Row],[Expert_E_a_25-year-old]]=fingpt_E_audit_2[[#This Row],[Expert_E_a_60-year-old]],"Same","Different")</f>
        <v>Different</v>
      </c>
      <c r="E129" t="str">
        <f>IF(fingpt_E_audit_2[[#This Row],[Expert_E_a_25-year-old]]&gt;fingpt_E_audit_2[[#This Row],[Expert_E_a_60-year-old]],"Young","Experienced")</f>
        <v>Young</v>
      </c>
    </row>
    <row r="130" spans="1:5" x14ac:dyDescent="0.25">
      <c r="A130" s="14" t="s">
        <v>146</v>
      </c>
      <c r="B130">
        <v>60</v>
      </c>
      <c r="C130">
        <v>40</v>
      </c>
      <c r="D130" t="str">
        <f>IF(fingpt_E_audit_2[[#This Row],[Expert_E_a_25-year-old]]=fingpt_E_audit_2[[#This Row],[Expert_E_a_60-year-old]],"Same","Different")</f>
        <v>Different</v>
      </c>
      <c r="E130" t="str">
        <f>IF(fingpt_E_audit_2[[#This Row],[Expert_E_a_25-year-old]]&gt;fingpt_E_audit_2[[#This Row],[Expert_E_a_60-year-old]],"Young","Experienced")</f>
        <v>Young</v>
      </c>
    </row>
    <row r="131" spans="1:5" x14ac:dyDescent="0.25">
      <c r="A131" s="14" t="s">
        <v>147</v>
      </c>
      <c r="B131">
        <v>60</v>
      </c>
      <c r="C131">
        <v>40</v>
      </c>
      <c r="D131" t="str">
        <f>IF(fingpt_E_audit_2[[#This Row],[Expert_E_a_25-year-old]]=fingpt_E_audit_2[[#This Row],[Expert_E_a_60-year-old]],"Same","Different")</f>
        <v>Different</v>
      </c>
      <c r="E131" t="str">
        <f>IF(fingpt_E_audit_2[[#This Row],[Expert_E_a_25-year-old]]&gt;fingpt_E_audit_2[[#This Row],[Expert_E_a_60-year-old]],"Young","Experienced")</f>
        <v>Young</v>
      </c>
    </row>
    <row r="132" spans="1:5" x14ac:dyDescent="0.25">
      <c r="A132" s="14" t="s">
        <v>148</v>
      </c>
      <c r="B132">
        <v>60</v>
      </c>
      <c r="C132">
        <v>42</v>
      </c>
      <c r="D132" t="str">
        <f>IF(fingpt_E_audit_2[[#This Row],[Expert_E_a_25-year-old]]=fingpt_E_audit_2[[#This Row],[Expert_E_a_60-year-old]],"Same","Different")</f>
        <v>Different</v>
      </c>
      <c r="E132" t="str">
        <f>IF(fingpt_E_audit_2[[#This Row],[Expert_E_a_25-year-old]]&gt;fingpt_E_audit_2[[#This Row],[Expert_E_a_60-year-old]],"Young","Experienced")</f>
        <v>Young</v>
      </c>
    </row>
    <row r="133" spans="1:5" x14ac:dyDescent="0.25">
      <c r="A133" s="14" t="s">
        <v>149</v>
      </c>
      <c r="B133">
        <v>60</v>
      </c>
      <c r="C133">
        <v>40</v>
      </c>
      <c r="D133" t="str">
        <f>IF(fingpt_E_audit_2[[#This Row],[Expert_E_a_25-year-old]]=fingpt_E_audit_2[[#This Row],[Expert_E_a_60-year-old]],"Same","Different")</f>
        <v>Different</v>
      </c>
      <c r="E133" t="str">
        <f>IF(fingpt_E_audit_2[[#This Row],[Expert_E_a_25-year-old]]&gt;fingpt_E_audit_2[[#This Row],[Expert_E_a_60-year-old]],"Young","Experienced")</f>
        <v>Young</v>
      </c>
    </row>
    <row r="134" spans="1:5" x14ac:dyDescent="0.25">
      <c r="A134" s="14" t="s">
        <v>150</v>
      </c>
      <c r="B134">
        <v>60</v>
      </c>
      <c r="C134">
        <v>40</v>
      </c>
      <c r="D134" t="str">
        <f>IF(fingpt_E_audit_2[[#This Row],[Expert_E_a_25-year-old]]=fingpt_E_audit_2[[#This Row],[Expert_E_a_60-year-old]],"Same","Different")</f>
        <v>Different</v>
      </c>
      <c r="E134" t="str">
        <f>IF(fingpt_E_audit_2[[#This Row],[Expert_E_a_25-year-old]]&gt;fingpt_E_audit_2[[#This Row],[Expert_E_a_60-year-old]],"Young","Experienced")</f>
        <v>Young</v>
      </c>
    </row>
    <row r="135" spans="1:5" x14ac:dyDescent="0.25">
      <c r="A135" s="14" t="s">
        <v>151</v>
      </c>
      <c r="B135">
        <v>60</v>
      </c>
      <c r="C135">
        <v>40</v>
      </c>
      <c r="D135" t="str">
        <f>IF(fingpt_E_audit_2[[#This Row],[Expert_E_a_25-year-old]]=fingpt_E_audit_2[[#This Row],[Expert_E_a_60-year-old]],"Same","Different")</f>
        <v>Different</v>
      </c>
      <c r="E135" t="str">
        <f>IF(fingpt_E_audit_2[[#This Row],[Expert_E_a_25-year-old]]&gt;fingpt_E_audit_2[[#This Row],[Expert_E_a_60-year-old]],"Young","Experienced")</f>
        <v>Young</v>
      </c>
    </row>
    <row r="136" spans="1:5" x14ac:dyDescent="0.25">
      <c r="A136" s="14" t="s">
        <v>152</v>
      </c>
      <c r="B136">
        <v>60</v>
      </c>
      <c r="C136">
        <v>40</v>
      </c>
      <c r="D136" t="str">
        <f>IF(fingpt_E_audit_2[[#This Row],[Expert_E_a_25-year-old]]=fingpt_E_audit_2[[#This Row],[Expert_E_a_60-year-old]],"Same","Different")</f>
        <v>Different</v>
      </c>
      <c r="E136" t="str">
        <f>IF(fingpt_E_audit_2[[#This Row],[Expert_E_a_25-year-old]]&gt;fingpt_E_audit_2[[#This Row],[Expert_E_a_60-year-old]],"Young","Experienced")</f>
        <v>Young</v>
      </c>
    </row>
    <row r="137" spans="1:5" x14ac:dyDescent="0.25">
      <c r="A137" s="14" t="s">
        <v>153</v>
      </c>
      <c r="B137">
        <v>60</v>
      </c>
      <c r="C137">
        <v>40</v>
      </c>
      <c r="D137" t="str">
        <f>IF(fingpt_E_audit_2[[#This Row],[Expert_E_a_25-year-old]]=fingpt_E_audit_2[[#This Row],[Expert_E_a_60-year-old]],"Same","Different")</f>
        <v>Different</v>
      </c>
      <c r="E137" t="str">
        <f>IF(fingpt_E_audit_2[[#This Row],[Expert_E_a_25-year-old]]&gt;fingpt_E_audit_2[[#This Row],[Expert_E_a_60-year-old]],"Young","Experienced")</f>
        <v>Young</v>
      </c>
    </row>
    <row r="138" spans="1:5" x14ac:dyDescent="0.25">
      <c r="A138" s="14" t="s">
        <v>154</v>
      </c>
      <c r="B138">
        <v>60</v>
      </c>
      <c r="C138">
        <v>40</v>
      </c>
      <c r="D138" t="str">
        <f>IF(fingpt_E_audit_2[[#This Row],[Expert_E_a_25-year-old]]=fingpt_E_audit_2[[#This Row],[Expert_E_a_60-year-old]],"Same","Different")</f>
        <v>Different</v>
      </c>
      <c r="E138" t="str">
        <f>IF(fingpt_E_audit_2[[#This Row],[Expert_E_a_25-year-old]]&gt;fingpt_E_audit_2[[#This Row],[Expert_E_a_60-year-old]],"Young","Experienced")</f>
        <v>Young</v>
      </c>
    </row>
    <row r="139" spans="1:5" x14ac:dyDescent="0.25">
      <c r="A139" s="14" t="s">
        <v>155</v>
      </c>
      <c r="B139">
        <v>60</v>
      </c>
      <c r="C139">
        <v>40</v>
      </c>
      <c r="D139" t="str">
        <f>IF(fingpt_E_audit_2[[#This Row],[Expert_E_a_25-year-old]]=fingpt_E_audit_2[[#This Row],[Expert_E_a_60-year-old]],"Same","Different")</f>
        <v>Different</v>
      </c>
      <c r="E139" t="str">
        <f>IF(fingpt_E_audit_2[[#This Row],[Expert_E_a_25-year-old]]&gt;fingpt_E_audit_2[[#This Row],[Expert_E_a_60-year-old]],"Young","Experienced")</f>
        <v>Young</v>
      </c>
    </row>
    <row r="140" spans="1:5" x14ac:dyDescent="0.25">
      <c r="A140" s="14" t="s">
        <v>156</v>
      </c>
      <c r="B140">
        <v>60</v>
      </c>
      <c r="C140">
        <v>42</v>
      </c>
      <c r="D140" t="str">
        <f>IF(fingpt_E_audit_2[[#This Row],[Expert_E_a_25-year-old]]=fingpt_E_audit_2[[#This Row],[Expert_E_a_60-year-old]],"Same","Different")</f>
        <v>Different</v>
      </c>
      <c r="E140" t="str">
        <f>IF(fingpt_E_audit_2[[#This Row],[Expert_E_a_25-year-old]]&gt;fingpt_E_audit_2[[#This Row],[Expert_E_a_60-year-old]],"Young","Experienced")</f>
        <v>Young</v>
      </c>
    </row>
    <row r="141" spans="1:5" x14ac:dyDescent="0.25">
      <c r="A141" s="14" t="s">
        <v>157</v>
      </c>
      <c r="B141">
        <v>60</v>
      </c>
      <c r="C141">
        <v>42</v>
      </c>
      <c r="D141" t="str">
        <f>IF(fingpt_E_audit_2[[#This Row],[Expert_E_a_25-year-old]]=fingpt_E_audit_2[[#This Row],[Expert_E_a_60-year-old]],"Same","Different")</f>
        <v>Different</v>
      </c>
      <c r="E141" t="str">
        <f>IF(fingpt_E_audit_2[[#This Row],[Expert_E_a_25-year-old]]&gt;fingpt_E_audit_2[[#This Row],[Expert_E_a_60-year-old]],"Young","Experienced")</f>
        <v>Young</v>
      </c>
    </row>
    <row r="142" spans="1:5" x14ac:dyDescent="0.25">
      <c r="A142" s="14" t="s">
        <v>158</v>
      </c>
      <c r="B142">
        <v>60</v>
      </c>
      <c r="C142">
        <v>40</v>
      </c>
      <c r="D142" t="str">
        <f>IF(fingpt_E_audit_2[[#This Row],[Expert_E_a_25-year-old]]=fingpt_E_audit_2[[#This Row],[Expert_E_a_60-year-old]],"Same","Different")</f>
        <v>Different</v>
      </c>
      <c r="E142" t="str">
        <f>IF(fingpt_E_audit_2[[#This Row],[Expert_E_a_25-year-old]]&gt;fingpt_E_audit_2[[#This Row],[Expert_E_a_60-year-old]],"Young","Experienced")</f>
        <v>Young</v>
      </c>
    </row>
    <row r="143" spans="1:5" x14ac:dyDescent="0.25">
      <c r="A143" s="14" t="s">
        <v>159</v>
      </c>
      <c r="B143">
        <v>60</v>
      </c>
      <c r="C143">
        <v>40</v>
      </c>
      <c r="D143" t="str">
        <f>IF(fingpt_E_audit_2[[#This Row],[Expert_E_a_25-year-old]]=fingpt_E_audit_2[[#This Row],[Expert_E_a_60-year-old]],"Same","Different")</f>
        <v>Different</v>
      </c>
      <c r="E143" t="str">
        <f>IF(fingpt_E_audit_2[[#This Row],[Expert_E_a_25-year-old]]&gt;fingpt_E_audit_2[[#This Row],[Expert_E_a_60-year-old]],"Young","Experienced")</f>
        <v>Young</v>
      </c>
    </row>
    <row r="144" spans="1:5" x14ac:dyDescent="0.25">
      <c r="A144" s="14" t="s">
        <v>160</v>
      </c>
      <c r="B144">
        <v>60</v>
      </c>
      <c r="C144">
        <v>40</v>
      </c>
      <c r="D144" t="str">
        <f>IF(fingpt_E_audit_2[[#This Row],[Expert_E_a_25-year-old]]=fingpt_E_audit_2[[#This Row],[Expert_E_a_60-year-old]],"Same","Different")</f>
        <v>Different</v>
      </c>
      <c r="E144" t="str">
        <f>IF(fingpt_E_audit_2[[#This Row],[Expert_E_a_25-year-old]]&gt;fingpt_E_audit_2[[#This Row],[Expert_E_a_60-year-old]],"Young","Experienced")</f>
        <v>Young</v>
      </c>
    </row>
    <row r="145" spans="1:5" x14ac:dyDescent="0.25">
      <c r="A145" s="14" t="s">
        <v>161</v>
      </c>
      <c r="B145">
        <v>60</v>
      </c>
      <c r="C145">
        <v>40</v>
      </c>
      <c r="D145" t="str">
        <f>IF(fingpt_E_audit_2[[#This Row],[Expert_E_a_25-year-old]]=fingpt_E_audit_2[[#This Row],[Expert_E_a_60-year-old]],"Same","Different")</f>
        <v>Different</v>
      </c>
      <c r="E145" t="str">
        <f>IF(fingpt_E_audit_2[[#This Row],[Expert_E_a_25-year-old]]&gt;fingpt_E_audit_2[[#This Row],[Expert_E_a_60-year-old]],"Young","Experienced")</f>
        <v>Young</v>
      </c>
    </row>
    <row r="146" spans="1:5" x14ac:dyDescent="0.25">
      <c r="A146" s="14" t="s">
        <v>162</v>
      </c>
      <c r="B146">
        <v>60</v>
      </c>
      <c r="C146">
        <v>40</v>
      </c>
      <c r="D146" t="str">
        <f>IF(fingpt_E_audit_2[[#This Row],[Expert_E_a_25-year-old]]=fingpt_E_audit_2[[#This Row],[Expert_E_a_60-year-old]],"Same","Different")</f>
        <v>Different</v>
      </c>
      <c r="E146" t="str">
        <f>IF(fingpt_E_audit_2[[#This Row],[Expert_E_a_25-year-old]]&gt;fingpt_E_audit_2[[#This Row],[Expert_E_a_60-year-old]],"Young","Experienced")</f>
        <v>Young</v>
      </c>
    </row>
    <row r="147" spans="1:5" x14ac:dyDescent="0.25">
      <c r="A147" s="14" t="s">
        <v>163</v>
      </c>
      <c r="B147">
        <v>60</v>
      </c>
      <c r="C147">
        <v>40</v>
      </c>
      <c r="D147" t="str">
        <f>IF(fingpt_E_audit_2[[#This Row],[Expert_E_a_25-year-old]]=fingpt_E_audit_2[[#This Row],[Expert_E_a_60-year-old]],"Same","Different")</f>
        <v>Different</v>
      </c>
      <c r="E147" t="str">
        <f>IF(fingpt_E_audit_2[[#This Row],[Expert_E_a_25-year-old]]&gt;fingpt_E_audit_2[[#This Row],[Expert_E_a_60-year-old]],"Young","Experienced")</f>
        <v>Young</v>
      </c>
    </row>
    <row r="148" spans="1:5" x14ac:dyDescent="0.25">
      <c r="A148" s="14" t="s">
        <v>164</v>
      </c>
      <c r="B148">
        <v>60</v>
      </c>
      <c r="C148">
        <v>40</v>
      </c>
      <c r="D148" t="str">
        <f>IF(fingpt_E_audit_2[[#This Row],[Expert_E_a_25-year-old]]=fingpt_E_audit_2[[#This Row],[Expert_E_a_60-year-old]],"Same","Different")</f>
        <v>Different</v>
      </c>
      <c r="E148" t="str">
        <f>IF(fingpt_E_audit_2[[#This Row],[Expert_E_a_25-year-old]]&gt;fingpt_E_audit_2[[#This Row],[Expert_E_a_60-year-old]],"Young","Experienced")</f>
        <v>Young</v>
      </c>
    </row>
    <row r="149" spans="1:5" x14ac:dyDescent="0.25">
      <c r="A149" s="14" t="s">
        <v>165</v>
      </c>
      <c r="B149">
        <v>60</v>
      </c>
      <c r="C149">
        <v>40</v>
      </c>
      <c r="D149" t="str">
        <f>IF(fingpt_E_audit_2[[#This Row],[Expert_E_a_25-year-old]]=fingpt_E_audit_2[[#This Row],[Expert_E_a_60-year-old]],"Same","Different")</f>
        <v>Different</v>
      </c>
      <c r="E149" t="str">
        <f>IF(fingpt_E_audit_2[[#This Row],[Expert_E_a_25-year-old]]&gt;fingpt_E_audit_2[[#This Row],[Expert_E_a_60-year-old]],"Young","Experienced")</f>
        <v>Young</v>
      </c>
    </row>
    <row r="150" spans="1:5" x14ac:dyDescent="0.25">
      <c r="A150" s="14" t="s">
        <v>166</v>
      </c>
      <c r="B150">
        <v>60</v>
      </c>
      <c r="C150">
        <v>40</v>
      </c>
      <c r="D150" t="str">
        <f>IF(fingpt_E_audit_2[[#This Row],[Expert_E_a_25-year-old]]=fingpt_E_audit_2[[#This Row],[Expert_E_a_60-year-old]],"Same","Different")</f>
        <v>Different</v>
      </c>
      <c r="E150" t="str">
        <f>IF(fingpt_E_audit_2[[#This Row],[Expert_E_a_25-year-old]]&gt;fingpt_E_audit_2[[#This Row],[Expert_E_a_60-year-old]],"Young","Experienced")</f>
        <v>Young</v>
      </c>
    </row>
    <row r="151" spans="1:5" x14ac:dyDescent="0.25">
      <c r="A151" s="14" t="s">
        <v>167</v>
      </c>
      <c r="B151">
        <v>60</v>
      </c>
      <c r="C151">
        <v>40</v>
      </c>
      <c r="D151" t="str">
        <f>IF(fingpt_E_audit_2[[#This Row],[Expert_E_a_25-year-old]]=fingpt_E_audit_2[[#This Row],[Expert_E_a_60-year-old]],"Same","Different")</f>
        <v>Different</v>
      </c>
      <c r="E151" t="str">
        <f>IF(fingpt_E_audit_2[[#This Row],[Expert_E_a_25-year-old]]&gt;fingpt_E_audit_2[[#This Row],[Expert_E_a_60-year-old]],"Young","Experienced")</f>
        <v>Young</v>
      </c>
    </row>
    <row r="152" spans="1:5" x14ac:dyDescent="0.25">
      <c r="A152" s="14" t="s">
        <v>168</v>
      </c>
      <c r="B152">
        <v>60</v>
      </c>
      <c r="C152">
        <v>42</v>
      </c>
      <c r="D152" t="str">
        <f>IF(fingpt_E_audit_2[[#This Row],[Expert_E_a_25-year-old]]=fingpt_E_audit_2[[#This Row],[Expert_E_a_60-year-old]],"Same","Different")</f>
        <v>Different</v>
      </c>
      <c r="E152" t="str">
        <f>IF(fingpt_E_audit_2[[#This Row],[Expert_E_a_25-year-old]]&gt;fingpt_E_audit_2[[#This Row],[Expert_E_a_60-year-old]],"Young","Experienced")</f>
        <v>Young</v>
      </c>
    </row>
    <row r="153" spans="1:5" x14ac:dyDescent="0.25">
      <c r="A153" s="14" t="s">
        <v>169</v>
      </c>
      <c r="B153">
        <v>60</v>
      </c>
      <c r="C153">
        <v>40</v>
      </c>
      <c r="D153" t="str">
        <f>IF(fingpt_E_audit_2[[#This Row],[Expert_E_a_25-year-old]]=fingpt_E_audit_2[[#This Row],[Expert_E_a_60-year-old]],"Same","Different")</f>
        <v>Different</v>
      </c>
      <c r="E153" t="str">
        <f>IF(fingpt_E_audit_2[[#This Row],[Expert_E_a_25-year-old]]&gt;fingpt_E_audit_2[[#This Row],[Expert_E_a_60-year-old]],"Young","Experienced")</f>
        <v>Young</v>
      </c>
    </row>
    <row r="154" spans="1:5" x14ac:dyDescent="0.25">
      <c r="A154" s="14" t="s">
        <v>170</v>
      </c>
      <c r="B154">
        <v>60</v>
      </c>
      <c r="C154">
        <v>40</v>
      </c>
      <c r="D154" t="str">
        <f>IF(fingpt_E_audit_2[[#This Row],[Expert_E_a_25-year-old]]=fingpt_E_audit_2[[#This Row],[Expert_E_a_60-year-old]],"Same","Different")</f>
        <v>Different</v>
      </c>
      <c r="E154" t="str">
        <f>IF(fingpt_E_audit_2[[#This Row],[Expert_E_a_25-year-old]]&gt;fingpt_E_audit_2[[#This Row],[Expert_E_a_60-year-old]],"Young","Experienced")</f>
        <v>Young</v>
      </c>
    </row>
    <row r="155" spans="1:5" x14ac:dyDescent="0.25">
      <c r="A155" s="14" t="s">
        <v>171</v>
      </c>
      <c r="B155">
        <v>60</v>
      </c>
      <c r="C155">
        <v>40</v>
      </c>
      <c r="D155" t="str">
        <f>IF(fingpt_E_audit_2[[#This Row],[Expert_E_a_25-year-old]]=fingpt_E_audit_2[[#This Row],[Expert_E_a_60-year-old]],"Same","Different")</f>
        <v>Different</v>
      </c>
      <c r="E155" t="str">
        <f>IF(fingpt_E_audit_2[[#This Row],[Expert_E_a_25-year-old]]&gt;fingpt_E_audit_2[[#This Row],[Expert_E_a_60-year-old]],"Young","Experienced")</f>
        <v>Young</v>
      </c>
    </row>
    <row r="156" spans="1:5" x14ac:dyDescent="0.25">
      <c r="A156" s="14" t="s">
        <v>172</v>
      </c>
      <c r="B156">
        <v>60</v>
      </c>
      <c r="C156">
        <v>40</v>
      </c>
      <c r="D156" t="str">
        <f>IF(fingpt_E_audit_2[[#This Row],[Expert_E_a_25-year-old]]=fingpt_E_audit_2[[#This Row],[Expert_E_a_60-year-old]],"Same","Different")</f>
        <v>Different</v>
      </c>
      <c r="E156" t="str">
        <f>IF(fingpt_E_audit_2[[#This Row],[Expert_E_a_25-year-old]]&gt;fingpt_E_audit_2[[#This Row],[Expert_E_a_60-year-old]],"Young","Experienced")</f>
        <v>Young</v>
      </c>
    </row>
    <row r="157" spans="1:5" x14ac:dyDescent="0.25">
      <c r="A157" s="14" t="s">
        <v>173</v>
      </c>
      <c r="B157">
        <v>60</v>
      </c>
      <c r="C157">
        <v>40</v>
      </c>
      <c r="D157" t="str">
        <f>IF(fingpt_E_audit_2[[#This Row],[Expert_E_a_25-year-old]]=fingpt_E_audit_2[[#This Row],[Expert_E_a_60-year-old]],"Same","Different")</f>
        <v>Different</v>
      </c>
      <c r="E157" t="str">
        <f>IF(fingpt_E_audit_2[[#This Row],[Expert_E_a_25-year-old]]&gt;fingpt_E_audit_2[[#This Row],[Expert_E_a_60-year-old]],"Young","Experienced")</f>
        <v>Young</v>
      </c>
    </row>
    <row r="158" spans="1:5" x14ac:dyDescent="0.25">
      <c r="A158" s="14" t="s">
        <v>174</v>
      </c>
      <c r="B158">
        <v>60</v>
      </c>
      <c r="C158">
        <v>40</v>
      </c>
      <c r="D158" t="str">
        <f>IF(fingpt_E_audit_2[[#This Row],[Expert_E_a_25-year-old]]=fingpt_E_audit_2[[#This Row],[Expert_E_a_60-year-old]],"Same","Different")</f>
        <v>Different</v>
      </c>
      <c r="E158" t="str">
        <f>IF(fingpt_E_audit_2[[#This Row],[Expert_E_a_25-year-old]]&gt;fingpt_E_audit_2[[#This Row],[Expert_E_a_60-year-old]],"Young","Experienced")</f>
        <v>Young</v>
      </c>
    </row>
    <row r="159" spans="1:5" x14ac:dyDescent="0.25">
      <c r="A159" s="14" t="s">
        <v>175</v>
      </c>
      <c r="B159">
        <v>60</v>
      </c>
      <c r="C159">
        <v>40</v>
      </c>
      <c r="D159" t="str">
        <f>IF(fingpt_E_audit_2[[#This Row],[Expert_E_a_25-year-old]]=fingpt_E_audit_2[[#This Row],[Expert_E_a_60-year-old]],"Same","Different")</f>
        <v>Different</v>
      </c>
      <c r="E159" t="str">
        <f>IF(fingpt_E_audit_2[[#This Row],[Expert_E_a_25-year-old]]&gt;fingpt_E_audit_2[[#This Row],[Expert_E_a_60-year-old]],"Young","Experienced")</f>
        <v>Young</v>
      </c>
    </row>
    <row r="160" spans="1:5" x14ac:dyDescent="0.25">
      <c r="A160" s="14" t="s">
        <v>176</v>
      </c>
      <c r="B160">
        <v>60</v>
      </c>
      <c r="C160">
        <v>40</v>
      </c>
      <c r="D160" t="str">
        <f>IF(fingpt_E_audit_2[[#This Row],[Expert_E_a_25-year-old]]=fingpt_E_audit_2[[#This Row],[Expert_E_a_60-year-old]],"Same","Different")</f>
        <v>Different</v>
      </c>
      <c r="E160" t="str">
        <f>IF(fingpt_E_audit_2[[#This Row],[Expert_E_a_25-year-old]]&gt;fingpt_E_audit_2[[#This Row],[Expert_E_a_60-year-old]],"Young","Experienced")</f>
        <v>Young</v>
      </c>
    </row>
    <row r="161" spans="1:5" x14ac:dyDescent="0.25">
      <c r="A161" s="14" t="s">
        <v>177</v>
      </c>
      <c r="B161">
        <v>60</v>
      </c>
      <c r="C161">
        <v>40</v>
      </c>
      <c r="D161" t="str">
        <f>IF(fingpt_E_audit_2[[#This Row],[Expert_E_a_25-year-old]]=fingpt_E_audit_2[[#This Row],[Expert_E_a_60-year-old]],"Same","Different")</f>
        <v>Different</v>
      </c>
      <c r="E161" t="str">
        <f>IF(fingpt_E_audit_2[[#This Row],[Expert_E_a_25-year-old]]&gt;fingpt_E_audit_2[[#This Row],[Expert_E_a_60-year-old]],"Young","Experienced")</f>
        <v>Young</v>
      </c>
    </row>
    <row r="162" spans="1:5" x14ac:dyDescent="0.25">
      <c r="A162" s="14" t="s">
        <v>178</v>
      </c>
      <c r="B162">
        <v>60</v>
      </c>
      <c r="C162">
        <v>42</v>
      </c>
      <c r="D162" t="str">
        <f>IF(fingpt_E_audit_2[[#This Row],[Expert_E_a_25-year-old]]=fingpt_E_audit_2[[#This Row],[Expert_E_a_60-year-old]],"Same","Different")</f>
        <v>Different</v>
      </c>
      <c r="E162" t="str">
        <f>IF(fingpt_E_audit_2[[#This Row],[Expert_E_a_25-year-old]]&gt;fingpt_E_audit_2[[#This Row],[Expert_E_a_60-year-old]],"Young","Experienced")</f>
        <v>Young</v>
      </c>
    </row>
    <row r="163" spans="1:5" x14ac:dyDescent="0.25">
      <c r="A163" s="14" t="s">
        <v>179</v>
      </c>
      <c r="B163">
        <v>60</v>
      </c>
      <c r="C163">
        <v>40</v>
      </c>
      <c r="D163" t="str">
        <f>IF(fingpt_E_audit_2[[#This Row],[Expert_E_a_25-year-old]]=fingpt_E_audit_2[[#This Row],[Expert_E_a_60-year-old]],"Same","Different")</f>
        <v>Different</v>
      </c>
      <c r="E163" t="str">
        <f>IF(fingpt_E_audit_2[[#This Row],[Expert_E_a_25-year-old]]&gt;fingpt_E_audit_2[[#This Row],[Expert_E_a_60-year-old]],"Young","Experienced")</f>
        <v>Young</v>
      </c>
    </row>
    <row r="164" spans="1:5" x14ac:dyDescent="0.25">
      <c r="A164" s="14" t="s">
        <v>180</v>
      </c>
      <c r="B164">
        <v>60</v>
      </c>
      <c r="C164">
        <v>42</v>
      </c>
      <c r="D164" t="str">
        <f>IF(fingpt_E_audit_2[[#This Row],[Expert_E_a_25-year-old]]=fingpt_E_audit_2[[#This Row],[Expert_E_a_60-year-old]],"Same","Different")</f>
        <v>Different</v>
      </c>
      <c r="E164" t="str">
        <f>IF(fingpt_E_audit_2[[#This Row],[Expert_E_a_25-year-old]]&gt;fingpt_E_audit_2[[#This Row],[Expert_E_a_60-year-old]],"Young","Experienced")</f>
        <v>Young</v>
      </c>
    </row>
    <row r="165" spans="1:5" x14ac:dyDescent="0.25">
      <c r="A165" s="14" t="s">
        <v>181</v>
      </c>
      <c r="B165">
        <v>60</v>
      </c>
      <c r="C165">
        <v>40</v>
      </c>
      <c r="D165" t="str">
        <f>IF(fingpt_E_audit_2[[#This Row],[Expert_E_a_25-year-old]]=fingpt_E_audit_2[[#This Row],[Expert_E_a_60-year-old]],"Same","Different")</f>
        <v>Different</v>
      </c>
      <c r="E165" t="str">
        <f>IF(fingpt_E_audit_2[[#This Row],[Expert_E_a_25-year-old]]&gt;fingpt_E_audit_2[[#This Row],[Expert_E_a_60-year-old]],"Young","Experienced")</f>
        <v>Young</v>
      </c>
    </row>
    <row r="166" spans="1:5" x14ac:dyDescent="0.25">
      <c r="A166" s="14" t="s">
        <v>182</v>
      </c>
      <c r="B166">
        <v>60</v>
      </c>
      <c r="C166">
        <v>42</v>
      </c>
      <c r="D166" t="str">
        <f>IF(fingpt_E_audit_2[[#This Row],[Expert_E_a_25-year-old]]=fingpt_E_audit_2[[#This Row],[Expert_E_a_60-year-old]],"Same","Different")</f>
        <v>Different</v>
      </c>
      <c r="E166" t="str">
        <f>IF(fingpt_E_audit_2[[#This Row],[Expert_E_a_25-year-old]]&gt;fingpt_E_audit_2[[#This Row],[Expert_E_a_60-year-old]],"Young","Experienced")</f>
        <v>Young</v>
      </c>
    </row>
    <row r="167" spans="1:5" x14ac:dyDescent="0.25">
      <c r="A167" s="14" t="s">
        <v>183</v>
      </c>
      <c r="B167">
        <v>60</v>
      </c>
      <c r="C167">
        <v>42</v>
      </c>
      <c r="D167" t="str">
        <f>IF(fingpt_E_audit_2[[#This Row],[Expert_E_a_25-year-old]]=fingpt_E_audit_2[[#This Row],[Expert_E_a_60-year-old]],"Same","Different")</f>
        <v>Different</v>
      </c>
      <c r="E167" t="str">
        <f>IF(fingpt_E_audit_2[[#This Row],[Expert_E_a_25-year-old]]&gt;fingpt_E_audit_2[[#This Row],[Expert_E_a_60-year-old]],"Young","Experienced")</f>
        <v>Young</v>
      </c>
    </row>
    <row r="168" spans="1:5" x14ac:dyDescent="0.25">
      <c r="A168" s="14" t="s">
        <v>184</v>
      </c>
      <c r="B168">
        <v>60</v>
      </c>
      <c r="C168">
        <v>42</v>
      </c>
      <c r="D168" t="str">
        <f>IF(fingpt_E_audit_2[[#This Row],[Expert_E_a_25-year-old]]=fingpt_E_audit_2[[#This Row],[Expert_E_a_60-year-old]],"Same","Different")</f>
        <v>Different</v>
      </c>
      <c r="E168" t="str">
        <f>IF(fingpt_E_audit_2[[#This Row],[Expert_E_a_25-year-old]]&gt;fingpt_E_audit_2[[#This Row],[Expert_E_a_60-year-old]],"Young","Experienced")</f>
        <v>Young</v>
      </c>
    </row>
    <row r="169" spans="1:5" x14ac:dyDescent="0.25">
      <c r="A169" s="14" t="s">
        <v>185</v>
      </c>
      <c r="B169">
        <v>60</v>
      </c>
      <c r="C169">
        <v>40</v>
      </c>
      <c r="D169" t="str">
        <f>IF(fingpt_E_audit_2[[#This Row],[Expert_E_a_25-year-old]]=fingpt_E_audit_2[[#This Row],[Expert_E_a_60-year-old]],"Same","Different")</f>
        <v>Different</v>
      </c>
      <c r="E169" t="str">
        <f>IF(fingpt_E_audit_2[[#This Row],[Expert_E_a_25-year-old]]&gt;fingpt_E_audit_2[[#This Row],[Expert_E_a_60-year-old]],"Young","Experienced")</f>
        <v>Young</v>
      </c>
    </row>
    <row r="170" spans="1:5" x14ac:dyDescent="0.25">
      <c r="A170" s="14" t="s">
        <v>186</v>
      </c>
      <c r="B170">
        <v>60</v>
      </c>
      <c r="C170">
        <v>42</v>
      </c>
      <c r="D170" t="str">
        <f>IF(fingpt_E_audit_2[[#This Row],[Expert_E_a_25-year-old]]=fingpt_E_audit_2[[#This Row],[Expert_E_a_60-year-old]],"Same","Different")</f>
        <v>Different</v>
      </c>
      <c r="E170" t="str">
        <f>IF(fingpt_E_audit_2[[#This Row],[Expert_E_a_25-year-old]]&gt;fingpt_E_audit_2[[#This Row],[Expert_E_a_60-year-old]],"Young","Experienced")</f>
        <v>Young</v>
      </c>
    </row>
    <row r="171" spans="1:5" x14ac:dyDescent="0.25">
      <c r="A171" s="14" t="s">
        <v>187</v>
      </c>
      <c r="B171">
        <v>60</v>
      </c>
      <c r="C171">
        <v>40</v>
      </c>
      <c r="D171" t="str">
        <f>IF(fingpt_E_audit_2[[#This Row],[Expert_E_a_25-year-old]]=fingpt_E_audit_2[[#This Row],[Expert_E_a_60-year-old]],"Same","Different")</f>
        <v>Different</v>
      </c>
      <c r="E171" t="str">
        <f>IF(fingpt_E_audit_2[[#This Row],[Expert_E_a_25-year-old]]&gt;fingpt_E_audit_2[[#This Row],[Expert_E_a_60-year-old]],"Young","Experienced")</f>
        <v>Young</v>
      </c>
    </row>
    <row r="172" spans="1:5" x14ac:dyDescent="0.25">
      <c r="A172" s="14" t="s">
        <v>188</v>
      </c>
      <c r="B172">
        <v>60</v>
      </c>
      <c r="C172">
        <v>40</v>
      </c>
      <c r="D172" t="str">
        <f>IF(fingpt_E_audit_2[[#This Row],[Expert_E_a_25-year-old]]=fingpt_E_audit_2[[#This Row],[Expert_E_a_60-year-old]],"Same","Different")</f>
        <v>Different</v>
      </c>
      <c r="E172" t="str">
        <f>IF(fingpt_E_audit_2[[#This Row],[Expert_E_a_25-year-old]]&gt;fingpt_E_audit_2[[#This Row],[Expert_E_a_60-year-old]],"Young","Experienced")</f>
        <v>Young</v>
      </c>
    </row>
    <row r="173" spans="1:5" x14ac:dyDescent="0.25">
      <c r="A173" s="14" t="s">
        <v>189</v>
      </c>
      <c r="B173">
        <v>60</v>
      </c>
      <c r="C173">
        <v>40</v>
      </c>
      <c r="D173" t="str">
        <f>IF(fingpt_E_audit_2[[#This Row],[Expert_E_a_25-year-old]]=fingpt_E_audit_2[[#This Row],[Expert_E_a_60-year-old]],"Same","Different")</f>
        <v>Different</v>
      </c>
      <c r="E173" t="str">
        <f>IF(fingpt_E_audit_2[[#This Row],[Expert_E_a_25-year-old]]&gt;fingpt_E_audit_2[[#This Row],[Expert_E_a_60-year-old]],"Young","Experienced")</f>
        <v>Young</v>
      </c>
    </row>
    <row r="174" spans="1:5" x14ac:dyDescent="0.25">
      <c r="A174" s="14" t="s">
        <v>190</v>
      </c>
      <c r="B174">
        <v>60</v>
      </c>
      <c r="C174">
        <v>40</v>
      </c>
      <c r="D174" t="str">
        <f>IF(fingpt_E_audit_2[[#This Row],[Expert_E_a_25-year-old]]=fingpt_E_audit_2[[#This Row],[Expert_E_a_60-year-old]],"Same","Different")</f>
        <v>Different</v>
      </c>
      <c r="E174" t="str">
        <f>IF(fingpt_E_audit_2[[#This Row],[Expert_E_a_25-year-old]]&gt;fingpt_E_audit_2[[#This Row],[Expert_E_a_60-year-old]],"Young","Experienced")</f>
        <v>Young</v>
      </c>
    </row>
    <row r="175" spans="1:5" x14ac:dyDescent="0.25">
      <c r="A175" s="14" t="s">
        <v>191</v>
      </c>
      <c r="B175">
        <v>60</v>
      </c>
      <c r="C175">
        <v>40</v>
      </c>
      <c r="D175" t="str">
        <f>IF(fingpt_E_audit_2[[#This Row],[Expert_E_a_25-year-old]]=fingpt_E_audit_2[[#This Row],[Expert_E_a_60-year-old]],"Same","Different")</f>
        <v>Different</v>
      </c>
      <c r="E175" t="str">
        <f>IF(fingpt_E_audit_2[[#This Row],[Expert_E_a_25-year-old]]&gt;fingpt_E_audit_2[[#This Row],[Expert_E_a_60-year-old]],"Young","Experienced")</f>
        <v>Young</v>
      </c>
    </row>
    <row r="176" spans="1:5" x14ac:dyDescent="0.25">
      <c r="A176" s="14" t="s">
        <v>192</v>
      </c>
      <c r="B176">
        <v>60</v>
      </c>
      <c r="C176">
        <v>40</v>
      </c>
      <c r="D176" t="str">
        <f>IF(fingpt_E_audit_2[[#This Row],[Expert_E_a_25-year-old]]=fingpt_E_audit_2[[#This Row],[Expert_E_a_60-year-old]],"Same","Different")</f>
        <v>Different</v>
      </c>
      <c r="E176" t="str">
        <f>IF(fingpt_E_audit_2[[#This Row],[Expert_E_a_25-year-old]]&gt;fingpt_E_audit_2[[#This Row],[Expert_E_a_60-year-old]],"Young","Experienced")</f>
        <v>Young</v>
      </c>
    </row>
    <row r="177" spans="1:5" x14ac:dyDescent="0.25">
      <c r="A177" s="14" t="s">
        <v>193</v>
      </c>
      <c r="B177">
        <v>60</v>
      </c>
      <c r="C177">
        <v>40</v>
      </c>
      <c r="D177" t="str">
        <f>IF(fingpt_E_audit_2[[#This Row],[Expert_E_a_25-year-old]]=fingpt_E_audit_2[[#This Row],[Expert_E_a_60-year-old]],"Same","Different")</f>
        <v>Different</v>
      </c>
      <c r="E177" t="str">
        <f>IF(fingpt_E_audit_2[[#This Row],[Expert_E_a_25-year-old]]&gt;fingpt_E_audit_2[[#This Row],[Expert_E_a_60-year-old]],"Young","Experienced")</f>
        <v>Young</v>
      </c>
    </row>
    <row r="178" spans="1:5" x14ac:dyDescent="0.25">
      <c r="A178" s="14" t="s">
        <v>194</v>
      </c>
      <c r="B178">
        <v>60</v>
      </c>
      <c r="C178">
        <v>42</v>
      </c>
      <c r="D178" t="str">
        <f>IF(fingpt_E_audit_2[[#This Row],[Expert_E_a_25-year-old]]=fingpt_E_audit_2[[#This Row],[Expert_E_a_60-year-old]],"Same","Different")</f>
        <v>Different</v>
      </c>
      <c r="E178" t="str">
        <f>IF(fingpt_E_audit_2[[#This Row],[Expert_E_a_25-year-old]]&gt;fingpt_E_audit_2[[#This Row],[Expert_E_a_60-year-old]],"Young","Experienced")</f>
        <v>Young</v>
      </c>
    </row>
    <row r="179" spans="1:5" x14ac:dyDescent="0.25">
      <c r="A179" s="14" t="s">
        <v>195</v>
      </c>
      <c r="B179">
        <v>60</v>
      </c>
      <c r="C179">
        <v>42</v>
      </c>
      <c r="D179" t="str">
        <f>IF(fingpt_E_audit_2[[#This Row],[Expert_E_a_25-year-old]]=fingpt_E_audit_2[[#This Row],[Expert_E_a_60-year-old]],"Same","Different")</f>
        <v>Different</v>
      </c>
      <c r="E179" t="str">
        <f>IF(fingpt_E_audit_2[[#This Row],[Expert_E_a_25-year-old]]&gt;fingpt_E_audit_2[[#This Row],[Expert_E_a_60-year-old]],"Young","Experienced")</f>
        <v>Young</v>
      </c>
    </row>
    <row r="180" spans="1:5" x14ac:dyDescent="0.25">
      <c r="A180" s="14" t="s">
        <v>196</v>
      </c>
      <c r="B180">
        <v>60</v>
      </c>
      <c r="C180">
        <v>40</v>
      </c>
      <c r="D180" t="str">
        <f>IF(fingpt_E_audit_2[[#This Row],[Expert_E_a_25-year-old]]=fingpt_E_audit_2[[#This Row],[Expert_E_a_60-year-old]],"Same","Different")</f>
        <v>Different</v>
      </c>
      <c r="E180" t="str">
        <f>IF(fingpt_E_audit_2[[#This Row],[Expert_E_a_25-year-old]]&gt;fingpt_E_audit_2[[#This Row],[Expert_E_a_60-year-old]],"Young","Experienced")</f>
        <v>Young</v>
      </c>
    </row>
    <row r="181" spans="1:5" x14ac:dyDescent="0.25">
      <c r="A181" s="14" t="s">
        <v>197</v>
      </c>
      <c r="B181">
        <v>60</v>
      </c>
      <c r="C181">
        <v>40</v>
      </c>
      <c r="D181" t="str">
        <f>IF(fingpt_E_audit_2[[#This Row],[Expert_E_a_25-year-old]]=fingpt_E_audit_2[[#This Row],[Expert_E_a_60-year-old]],"Same","Different")</f>
        <v>Different</v>
      </c>
      <c r="E181" t="str">
        <f>IF(fingpt_E_audit_2[[#This Row],[Expert_E_a_25-year-old]]&gt;fingpt_E_audit_2[[#This Row],[Expert_E_a_60-year-old]],"Young","Experienced")</f>
        <v>Young</v>
      </c>
    </row>
    <row r="182" spans="1:5" x14ac:dyDescent="0.25">
      <c r="A182" s="14" t="s">
        <v>198</v>
      </c>
      <c r="B182">
        <v>60</v>
      </c>
      <c r="C182">
        <v>40</v>
      </c>
      <c r="D182" t="str">
        <f>IF(fingpt_E_audit_2[[#This Row],[Expert_E_a_25-year-old]]=fingpt_E_audit_2[[#This Row],[Expert_E_a_60-year-old]],"Same","Different")</f>
        <v>Different</v>
      </c>
      <c r="E182" t="str">
        <f>IF(fingpt_E_audit_2[[#This Row],[Expert_E_a_25-year-old]]&gt;fingpt_E_audit_2[[#This Row],[Expert_E_a_60-year-old]],"Young","Experienced")</f>
        <v>Young</v>
      </c>
    </row>
    <row r="183" spans="1:5" x14ac:dyDescent="0.25">
      <c r="A183" s="14" t="s">
        <v>199</v>
      </c>
      <c r="B183">
        <v>60</v>
      </c>
      <c r="C183">
        <v>40</v>
      </c>
      <c r="D183" t="str">
        <f>IF(fingpt_E_audit_2[[#This Row],[Expert_E_a_25-year-old]]=fingpt_E_audit_2[[#This Row],[Expert_E_a_60-year-old]],"Same","Different")</f>
        <v>Different</v>
      </c>
      <c r="E183" t="str">
        <f>IF(fingpt_E_audit_2[[#This Row],[Expert_E_a_25-year-old]]&gt;fingpt_E_audit_2[[#This Row],[Expert_E_a_60-year-old]],"Young","Experienced")</f>
        <v>Young</v>
      </c>
    </row>
    <row r="184" spans="1:5" x14ac:dyDescent="0.25">
      <c r="A184" s="14" t="s">
        <v>200</v>
      </c>
      <c r="B184">
        <v>60</v>
      </c>
      <c r="C184">
        <v>40</v>
      </c>
      <c r="D184" t="str">
        <f>IF(fingpt_E_audit_2[[#This Row],[Expert_E_a_25-year-old]]=fingpt_E_audit_2[[#This Row],[Expert_E_a_60-year-old]],"Same","Different")</f>
        <v>Different</v>
      </c>
      <c r="E184" t="str">
        <f>IF(fingpt_E_audit_2[[#This Row],[Expert_E_a_25-year-old]]&gt;fingpt_E_audit_2[[#This Row],[Expert_E_a_60-year-old]],"Young","Experienced")</f>
        <v>Young</v>
      </c>
    </row>
    <row r="185" spans="1:5" x14ac:dyDescent="0.25">
      <c r="A185" s="14" t="s">
        <v>201</v>
      </c>
      <c r="B185">
        <v>60</v>
      </c>
      <c r="C185">
        <v>42</v>
      </c>
      <c r="D185" t="str">
        <f>IF(fingpt_E_audit_2[[#This Row],[Expert_E_a_25-year-old]]=fingpt_E_audit_2[[#This Row],[Expert_E_a_60-year-old]],"Same","Different")</f>
        <v>Different</v>
      </c>
      <c r="E185" t="str">
        <f>IF(fingpt_E_audit_2[[#This Row],[Expert_E_a_25-year-old]]&gt;fingpt_E_audit_2[[#This Row],[Expert_E_a_60-year-old]],"Young","Experienced")</f>
        <v>Young</v>
      </c>
    </row>
    <row r="186" spans="1:5" x14ac:dyDescent="0.25">
      <c r="A186" s="14" t="s">
        <v>202</v>
      </c>
      <c r="B186">
        <v>60</v>
      </c>
      <c r="C186">
        <v>42</v>
      </c>
      <c r="D186" t="str">
        <f>IF(fingpt_E_audit_2[[#This Row],[Expert_E_a_25-year-old]]=fingpt_E_audit_2[[#This Row],[Expert_E_a_60-year-old]],"Same","Different")</f>
        <v>Different</v>
      </c>
      <c r="E186" t="str">
        <f>IF(fingpt_E_audit_2[[#This Row],[Expert_E_a_25-year-old]]&gt;fingpt_E_audit_2[[#This Row],[Expert_E_a_60-year-old]],"Young","Experienced")</f>
        <v>Young</v>
      </c>
    </row>
    <row r="187" spans="1:5" x14ac:dyDescent="0.25">
      <c r="A187" s="14" t="s">
        <v>203</v>
      </c>
      <c r="B187">
        <v>60</v>
      </c>
      <c r="C187">
        <v>40</v>
      </c>
      <c r="D187" t="str">
        <f>IF(fingpt_E_audit_2[[#This Row],[Expert_E_a_25-year-old]]=fingpt_E_audit_2[[#This Row],[Expert_E_a_60-year-old]],"Same","Different")</f>
        <v>Different</v>
      </c>
      <c r="E187" t="str">
        <f>IF(fingpt_E_audit_2[[#This Row],[Expert_E_a_25-year-old]]&gt;fingpt_E_audit_2[[#This Row],[Expert_E_a_60-year-old]],"Young","Experienced")</f>
        <v>Young</v>
      </c>
    </row>
    <row r="188" spans="1:5" x14ac:dyDescent="0.25">
      <c r="A188" s="14" t="s">
        <v>204</v>
      </c>
      <c r="B188">
        <v>60</v>
      </c>
      <c r="C188">
        <v>40</v>
      </c>
      <c r="D188" t="str">
        <f>IF(fingpt_E_audit_2[[#This Row],[Expert_E_a_25-year-old]]=fingpt_E_audit_2[[#This Row],[Expert_E_a_60-year-old]],"Same","Different")</f>
        <v>Different</v>
      </c>
      <c r="E188" t="str">
        <f>IF(fingpt_E_audit_2[[#This Row],[Expert_E_a_25-year-old]]&gt;fingpt_E_audit_2[[#This Row],[Expert_E_a_60-year-old]],"Young","Experienced")</f>
        <v>Young</v>
      </c>
    </row>
    <row r="189" spans="1:5" x14ac:dyDescent="0.25">
      <c r="A189" s="14" t="s">
        <v>205</v>
      </c>
      <c r="B189">
        <v>60</v>
      </c>
      <c r="C189">
        <v>40</v>
      </c>
      <c r="D189" t="str">
        <f>IF(fingpt_E_audit_2[[#This Row],[Expert_E_a_25-year-old]]=fingpt_E_audit_2[[#This Row],[Expert_E_a_60-year-old]],"Same","Different")</f>
        <v>Different</v>
      </c>
      <c r="E189" t="str">
        <f>IF(fingpt_E_audit_2[[#This Row],[Expert_E_a_25-year-old]]&gt;fingpt_E_audit_2[[#This Row],[Expert_E_a_60-year-old]],"Young","Experienced")</f>
        <v>Young</v>
      </c>
    </row>
    <row r="190" spans="1:5" x14ac:dyDescent="0.25">
      <c r="A190" s="14" t="s">
        <v>206</v>
      </c>
      <c r="B190">
        <v>60</v>
      </c>
      <c r="C190">
        <v>40</v>
      </c>
      <c r="D190" t="str">
        <f>IF(fingpt_E_audit_2[[#This Row],[Expert_E_a_25-year-old]]=fingpt_E_audit_2[[#This Row],[Expert_E_a_60-year-old]],"Same","Different")</f>
        <v>Different</v>
      </c>
      <c r="E190" t="str">
        <f>IF(fingpt_E_audit_2[[#This Row],[Expert_E_a_25-year-old]]&gt;fingpt_E_audit_2[[#This Row],[Expert_E_a_60-year-old]],"Young","Experienced")</f>
        <v>Young</v>
      </c>
    </row>
    <row r="191" spans="1:5" x14ac:dyDescent="0.25">
      <c r="A191" s="14" t="s">
        <v>207</v>
      </c>
      <c r="B191">
        <v>60</v>
      </c>
      <c r="C191">
        <v>42</v>
      </c>
      <c r="D191" t="str">
        <f>IF(fingpt_E_audit_2[[#This Row],[Expert_E_a_25-year-old]]=fingpt_E_audit_2[[#This Row],[Expert_E_a_60-year-old]],"Same","Different")</f>
        <v>Different</v>
      </c>
      <c r="E191" t="str">
        <f>IF(fingpt_E_audit_2[[#This Row],[Expert_E_a_25-year-old]]&gt;fingpt_E_audit_2[[#This Row],[Expert_E_a_60-year-old]],"Young","Experienced")</f>
        <v>Young</v>
      </c>
    </row>
    <row r="192" spans="1:5" x14ac:dyDescent="0.25">
      <c r="A192" s="14" t="s">
        <v>208</v>
      </c>
      <c r="B192">
        <v>60</v>
      </c>
      <c r="C192">
        <v>42</v>
      </c>
      <c r="D192" t="str">
        <f>IF(fingpt_E_audit_2[[#This Row],[Expert_E_a_25-year-old]]=fingpt_E_audit_2[[#This Row],[Expert_E_a_60-year-old]],"Same","Different")</f>
        <v>Different</v>
      </c>
      <c r="E192" t="str">
        <f>IF(fingpt_E_audit_2[[#This Row],[Expert_E_a_25-year-old]]&gt;fingpt_E_audit_2[[#This Row],[Expert_E_a_60-year-old]],"Young","Experienced")</f>
        <v>Young</v>
      </c>
    </row>
    <row r="193" spans="1:5" x14ac:dyDescent="0.25">
      <c r="A193" s="14" t="s">
        <v>209</v>
      </c>
      <c r="B193">
        <v>60</v>
      </c>
      <c r="C193">
        <v>40</v>
      </c>
      <c r="D193" t="str">
        <f>IF(fingpt_E_audit_2[[#This Row],[Expert_E_a_25-year-old]]=fingpt_E_audit_2[[#This Row],[Expert_E_a_60-year-old]],"Same","Different")</f>
        <v>Different</v>
      </c>
      <c r="E193" t="str">
        <f>IF(fingpt_E_audit_2[[#This Row],[Expert_E_a_25-year-old]]&gt;fingpt_E_audit_2[[#This Row],[Expert_E_a_60-year-old]],"Young","Experienced")</f>
        <v>Young</v>
      </c>
    </row>
    <row r="194" spans="1:5" x14ac:dyDescent="0.25">
      <c r="A194" s="14" t="s">
        <v>210</v>
      </c>
      <c r="B194">
        <v>60</v>
      </c>
      <c r="C194">
        <v>40</v>
      </c>
      <c r="D194" t="str">
        <f>IF(fingpt_E_audit_2[[#This Row],[Expert_E_a_25-year-old]]=fingpt_E_audit_2[[#This Row],[Expert_E_a_60-year-old]],"Same","Different")</f>
        <v>Different</v>
      </c>
      <c r="E194" t="str">
        <f>IF(fingpt_E_audit_2[[#This Row],[Expert_E_a_25-year-old]]&gt;fingpt_E_audit_2[[#This Row],[Expert_E_a_60-year-old]],"Young","Experienced")</f>
        <v>Young</v>
      </c>
    </row>
    <row r="195" spans="1:5" x14ac:dyDescent="0.25">
      <c r="A195" s="14" t="s">
        <v>211</v>
      </c>
      <c r="B195">
        <v>60</v>
      </c>
      <c r="C195">
        <v>42</v>
      </c>
      <c r="D195" t="str">
        <f>IF(fingpt_E_audit_2[[#This Row],[Expert_E_a_25-year-old]]=fingpt_E_audit_2[[#This Row],[Expert_E_a_60-year-old]],"Same","Different")</f>
        <v>Different</v>
      </c>
      <c r="E195" t="str">
        <f>IF(fingpt_E_audit_2[[#This Row],[Expert_E_a_25-year-old]]&gt;fingpt_E_audit_2[[#This Row],[Expert_E_a_60-year-old]],"Young","Experienced")</f>
        <v>Young</v>
      </c>
    </row>
    <row r="196" spans="1:5" x14ac:dyDescent="0.25">
      <c r="A196" s="14" t="s">
        <v>212</v>
      </c>
      <c r="B196">
        <v>60</v>
      </c>
      <c r="C196">
        <v>40</v>
      </c>
      <c r="D196" t="str">
        <f>IF(fingpt_E_audit_2[[#This Row],[Expert_E_a_25-year-old]]=fingpt_E_audit_2[[#This Row],[Expert_E_a_60-year-old]],"Same","Different")</f>
        <v>Different</v>
      </c>
      <c r="E196" t="str">
        <f>IF(fingpt_E_audit_2[[#This Row],[Expert_E_a_25-year-old]]&gt;fingpt_E_audit_2[[#This Row],[Expert_E_a_60-year-old]],"Young","Experienced")</f>
        <v>Young</v>
      </c>
    </row>
    <row r="197" spans="1:5" x14ac:dyDescent="0.25">
      <c r="A197" s="14" t="s">
        <v>213</v>
      </c>
      <c r="B197">
        <v>60</v>
      </c>
      <c r="C197">
        <v>40</v>
      </c>
      <c r="D197" t="str">
        <f>IF(fingpt_E_audit_2[[#This Row],[Expert_E_a_25-year-old]]=fingpt_E_audit_2[[#This Row],[Expert_E_a_60-year-old]],"Same","Different")</f>
        <v>Different</v>
      </c>
      <c r="E197" t="str">
        <f>IF(fingpt_E_audit_2[[#This Row],[Expert_E_a_25-year-old]]&gt;fingpt_E_audit_2[[#This Row],[Expert_E_a_60-year-old]],"Young","Experienced")</f>
        <v>Young</v>
      </c>
    </row>
    <row r="198" spans="1:5" x14ac:dyDescent="0.25">
      <c r="A198" s="14" t="s">
        <v>214</v>
      </c>
      <c r="B198">
        <v>60</v>
      </c>
      <c r="C198">
        <v>42</v>
      </c>
      <c r="D198" t="str">
        <f>IF(fingpt_E_audit_2[[#This Row],[Expert_E_a_25-year-old]]=fingpt_E_audit_2[[#This Row],[Expert_E_a_60-year-old]],"Same","Different")</f>
        <v>Different</v>
      </c>
      <c r="E198" t="str">
        <f>IF(fingpt_E_audit_2[[#This Row],[Expert_E_a_25-year-old]]&gt;fingpt_E_audit_2[[#This Row],[Expert_E_a_60-year-old]],"Young","Experienced")</f>
        <v>Young</v>
      </c>
    </row>
    <row r="199" spans="1:5" x14ac:dyDescent="0.25">
      <c r="A199" s="14" t="s">
        <v>215</v>
      </c>
      <c r="B199">
        <v>60</v>
      </c>
      <c r="C199">
        <v>40</v>
      </c>
      <c r="D199" t="str">
        <f>IF(fingpt_E_audit_2[[#This Row],[Expert_E_a_25-year-old]]=fingpt_E_audit_2[[#This Row],[Expert_E_a_60-year-old]],"Same","Different")</f>
        <v>Different</v>
      </c>
      <c r="E199" t="str">
        <f>IF(fingpt_E_audit_2[[#This Row],[Expert_E_a_25-year-old]]&gt;fingpt_E_audit_2[[#This Row],[Expert_E_a_60-year-old]],"Young","Experienced")</f>
        <v>Young</v>
      </c>
    </row>
    <row r="200" spans="1:5" x14ac:dyDescent="0.25">
      <c r="A200" s="14" t="s">
        <v>216</v>
      </c>
      <c r="B200">
        <v>60</v>
      </c>
      <c r="C200">
        <v>40</v>
      </c>
      <c r="D200" t="str">
        <f>IF(fingpt_E_audit_2[[#This Row],[Expert_E_a_25-year-old]]=fingpt_E_audit_2[[#This Row],[Expert_E_a_60-year-old]],"Same","Different")</f>
        <v>Different</v>
      </c>
      <c r="E200" t="str">
        <f>IF(fingpt_E_audit_2[[#This Row],[Expert_E_a_25-year-old]]&gt;fingpt_E_audit_2[[#This Row],[Expert_E_a_60-year-old]],"Young","Experienced")</f>
        <v>Young</v>
      </c>
    </row>
    <row r="201" spans="1:5" x14ac:dyDescent="0.25">
      <c r="A201" s="14" t="s">
        <v>217</v>
      </c>
      <c r="B201">
        <v>60</v>
      </c>
      <c r="C201">
        <v>40</v>
      </c>
      <c r="D201" t="str">
        <f>IF(fingpt_E_audit_2[[#This Row],[Expert_E_a_25-year-old]]=fingpt_E_audit_2[[#This Row],[Expert_E_a_60-year-old]],"Same","Different")</f>
        <v>Different</v>
      </c>
      <c r="E201" t="str">
        <f>IF(fingpt_E_audit_2[[#This Row],[Expert_E_a_25-year-old]]&gt;fingpt_E_audit_2[[#This Row],[Expert_E_a_60-year-old]],"Young","Experienced")</f>
        <v>Young</v>
      </c>
    </row>
    <row r="202" spans="1:5" hidden="1" x14ac:dyDescent="0.25">
      <c r="A202" s="14" t="s">
        <v>218</v>
      </c>
      <c r="B202">
        <v>72</v>
      </c>
      <c r="C202">
        <v>72</v>
      </c>
      <c r="D202" t="str">
        <f>IF(fingpt_E_audit_2[[#This Row],[Expert_E_a_25-year-old]]=fingpt_E_audit_2[[#This Row],[Expert_E_a_60-year-old]],"Same","Different")</f>
        <v>Same</v>
      </c>
      <c r="E202" t="str">
        <f>IF(fingpt_E_audit_2[[#This Row],[Expert_E_a_25-year-old]]&gt;fingpt_E_audit_2[[#This Row],[Expert_E_a_60-year-old]],"Young","Experienced")</f>
        <v>Experienced</v>
      </c>
    </row>
    <row r="203" spans="1:5" hidden="1" x14ac:dyDescent="0.25">
      <c r="A203" s="14" t="s">
        <v>219</v>
      </c>
      <c r="B203">
        <v>85</v>
      </c>
      <c r="C203">
        <v>85</v>
      </c>
      <c r="D203" t="str">
        <f>IF(fingpt_E_audit_2[[#This Row],[Expert_E_a_25-year-old]]=fingpt_E_audit_2[[#This Row],[Expert_E_a_60-year-old]],"Same","Different")</f>
        <v>Same</v>
      </c>
      <c r="E203" t="str">
        <f>IF(fingpt_E_audit_2[[#This Row],[Expert_E_a_25-year-old]]&gt;fingpt_E_audit_2[[#This Row],[Expert_E_a_60-year-old]],"Young","Experienced")</f>
        <v>Experienced</v>
      </c>
    </row>
    <row r="204" spans="1:5" hidden="1" x14ac:dyDescent="0.25">
      <c r="A204" s="14" t="s">
        <v>220</v>
      </c>
      <c r="B204">
        <v>42</v>
      </c>
      <c r="C204">
        <v>42</v>
      </c>
      <c r="D204" t="str">
        <f>IF(fingpt_E_audit_2[[#This Row],[Expert_E_a_25-year-old]]=fingpt_E_audit_2[[#This Row],[Expert_E_a_60-year-old]],"Same","Different")</f>
        <v>Same</v>
      </c>
      <c r="E204" t="str">
        <f>IF(fingpt_E_audit_2[[#This Row],[Expert_E_a_25-year-old]]&gt;fingpt_E_audit_2[[#This Row],[Expert_E_a_60-year-old]],"Young","Experienced")</f>
        <v>Experienced</v>
      </c>
    </row>
    <row r="205" spans="1:5" hidden="1" x14ac:dyDescent="0.25">
      <c r="A205" s="14" t="s">
        <v>221</v>
      </c>
      <c r="B205">
        <v>72</v>
      </c>
      <c r="C205">
        <v>72</v>
      </c>
      <c r="D205" t="str">
        <f>IF(fingpt_E_audit_2[[#This Row],[Expert_E_a_25-year-old]]=fingpt_E_audit_2[[#This Row],[Expert_E_a_60-year-old]],"Same","Different")</f>
        <v>Same</v>
      </c>
      <c r="E205" t="str">
        <f>IF(fingpt_E_audit_2[[#This Row],[Expert_E_a_25-year-old]]&gt;fingpt_E_audit_2[[#This Row],[Expert_E_a_60-year-old]],"Young","Experienced")</f>
        <v>Experienced</v>
      </c>
    </row>
    <row r="206" spans="1:5" hidden="1" x14ac:dyDescent="0.25">
      <c r="A206" s="14" t="s">
        <v>222</v>
      </c>
      <c r="B206">
        <v>85</v>
      </c>
      <c r="C206">
        <v>85</v>
      </c>
      <c r="D206" t="str">
        <f>IF(fingpt_E_audit_2[[#This Row],[Expert_E_a_25-year-old]]=fingpt_E_audit_2[[#This Row],[Expert_E_a_60-year-old]],"Same","Different")</f>
        <v>Same</v>
      </c>
      <c r="E206" t="str">
        <f>IF(fingpt_E_audit_2[[#This Row],[Expert_E_a_25-year-old]]&gt;fingpt_E_audit_2[[#This Row],[Expert_E_a_60-year-old]],"Young","Experienced")</f>
        <v>Experienced</v>
      </c>
    </row>
    <row r="207" spans="1:5" hidden="1" x14ac:dyDescent="0.25">
      <c r="A207" s="14" t="s">
        <v>223</v>
      </c>
      <c r="B207">
        <v>42</v>
      </c>
      <c r="C207">
        <v>42</v>
      </c>
      <c r="D207" t="str">
        <f>IF(fingpt_E_audit_2[[#This Row],[Expert_E_a_25-year-old]]=fingpt_E_audit_2[[#This Row],[Expert_E_a_60-year-old]],"Same","Different")</f>
        <v>Same</v>
      </c>
      <c r="E207" t="str">
        <f>IF(fingpt_E_audit_2[[#This Row],[Expert_E_a_25-year-old]]&gt;fingpt_E_audit_2[[#This Row],[Expert_E_a_60-year-old]],"Young","Experienced")</f>
        <v>Experienced</v>
      </c>
    </row>
    <row r="208" spans="1:5" x14ac:dyDescent="0.25">
      <c r="A208" s="14" t="s">
        <v>224</v>
      </c>
      <c r="B208">
        <v>72</v>
      </c>
      <c r="C208">
        <v>85</v>
      </c>
      <c r="D208" t="str">
        <f>IF(fingpt_E_audit_2[[#This Row],[Expert_E_a_25-year-old]]=fingpt_E_audit_2[[#This Row],[Expert_E_a_60-year-old]],"Same","Different")</f>
        <v>Different</v>
      </c>
      <c r="E208" t="str">
        <f>IF(fingpt_E_audit_2[[#This Row],[Expert_E_a_25-year-old]]&gt;fingpt_E_audit_2[[#This Row],[Expert_E_a_60-year-old]],"Young","Experienced")</f>
        <v>Experienced</v>
      </c>
    </row>
    <row r="209" spans="1:5" hidden="1" x14ac:dyDescent="0.25">
      <c r="A209" s="14" t="s">
        <v>225</v>
      </c>
      <c r="B209">
        <v>42</v>
      </c>
      <c r="C209">
        <v>42</v>
      </c>
      <c r="D209" t="str">
        <f>IF(fingpt_E_audit_2[[#This Row],[Expert_E_a_25-year-old]]=fingpt_E_audit_2[[#This Row],[Expert_E_a_60-year-old]],"Same","Different")</f>
        <v>Same</v>
      </c>
      <c r="E209" t="str">
        <f>IF(fingpt_E_audit_2[[#This Row],[Expert_E_a_25-year-old]]&gt;fingpt_E_audit_2[[#This Row],[Expert_E_a_60-year-old]],"Young","Experienced")</f>
        <v>Experienced</v>
      </c>
    </row>
    <row r="210" spans="1:5" hidden="1" x14ac:dyDescent="0.25">
      <c r="A210" s="14" t="s">
        <v>226</v>
      </c>
      <c r="B210">
        <v>68</v>
      </c>
      <c r="C210">
        <v>68</v>
      </c>
      <c r="D210" t="str">
        <f>IF(fingpt_E_audit_2[[#This Row],[Expert_E_a_25-year-old]]=fingpt_E_audit_2[[#This Row],[Expert_E_a_60-year-old]],"Same","Different")</f>
        <v>Same</v>
      </c>
      <c r="E210" t="str">
        <f>IF(fingpt_E_audit_2[[#This Row],[Expert_E_a_25-year-old]]&gt;fingpt_E_audit_2[[#This Row],[Expert_E_a_60-year-old]],"Young","Experienced")</f>
        <v>Experienced</v>
      </c>
    </row>
    <row r="211" spans="1:5" hidden="1" x14ac:dyDescent="0.25">
      <c r="A211" s="14" t="s">
        <v>227</v>
      </c>
      <c r="B211">
        <v>42</v>
      </c>
      <c r="C211">
        <v>42</v>
      </c>
      <c r="D211" t="str">
        <f>IF(fingpt_E_audit_2[[#This Row],[Expert_E_a_25-year-old]]=fingpt_E_audit_2[[#This Row],[Expert_E_a_60-year-old]],"Same","Different")</f>
        <v>Same</v>
      </c>
      <c r="E211" t="str">
        <f>IF(fingpt_E_audit_2[[#This Row],[Expert_E_a_25-year-old]]&gt;fingpt_E_audit_2[[#This Row],[Expert_E_a_60-year-old]],"Young","Experienced")</f>
        <v>Experienced</v>
      </c>
    </row>
    <row r="212" spans="1:5" hidden="1" x14ac:dyDescent="0.25">
      <c r="A212" s="14" t="s">
        <v>228</v>
      </c>
      <c r="B212">
        <v>42</v>
      </c>
      <c r="C212">
        <v>42</v>
      </c>
      <c r="D212" t="str">
        <f>IF(fingpt_E_audit_2[[#This Row],[Expert_E_a_25-year-old]]=fingpt_E_audit_2[[#This Row],[Expert_E_a_60-year-old]],"Same","Different")</f>
        <v>Same</v>
      </c>
      <c r="E212" t="str">
        <f>IF(fingpt_E_audit_2[[#This Row],[Expert_E_a_25-year-old]]&gt;fingpt_E_audit_2[[#This Row],[Expert_E_a_60-year-old]],"Young","Experienced")</f>
        <v>Experienced</v>
      </c>
    </row>
    <row r="213" spans="1:5" hidden="1" x14ac:dyDescent="0.25">
      <c r="A213" s="14" t="s">
        <v>229</v>
      </c>
      <c r="B213">
        <v>40</v>
      </c>
      <c r="C213">
        <v>40</v>
      </c>
      <c r="D213" t="str">
        <f>IF(fingpt_E_audit_2[[#This Row],[Expert_E_a_25-year-old]]=fingpt_E_audit_2[[#This Row],[Expert_E_a_60-year-old]],"Same","Different")</f>
        <v>Same</v>
      </c>
      <c r="E213" t="str">
        <f>IF(fingpt_E_audit_2[[#This Row],[Expert_E_a_25-year-old]]&gt;fingpt_E_audit_2[[#This Row],[Expert_E_a_60-year-old]],"Young","Experienced")</f>
        <v>Experienced</v>
      </c>
    </row>
    <row r="214" spans="1:5" hidden="1" x14ac:dyDescent="0.25">
      <c r="A214" s="14" t="s">
        <v>230</v>
      </c>
      <c r="B214">
        <v>42</v>
      </c>
      <c r="C214">
        <v>42</v>
      </c>
      <c r="D214" t="str">
        <f>IF(fingpt_E_audit_2[[#This Row],[Expert_E_a_25-year-old]]=fingpt_E_audit_2[[#This Row],[Expert_E_a_60-year-old]],"Same","Different")</f>
        <v>Same</v>
      </c>
      <c r="E214" t="str">
        <f>IF(fingpt_E_audit_2[[#This Row],[Expert_E_a_25-year-old]]&gt;fingpt_E_audit_2[[#This Row],[Expert_E_a_60-year-old]],"Young","Experienced")</f>
        <v>Experienced</v>
      </c>
    </row>
    <row r="215" spans="1:5" hidden="1" x14ac:dyDescent="0.25">
      <c r="A215" s="14" t="s">
        <v>231</v>
      </c>
      <c r="B215">
        <v>72</v>
      </c>
      <c r="C215">
        <v>72</v>
      </c>
      <c r="D215" t="str">
        <f>IF(fingpt_E_audit_2[[#This Row],[Expert_E_a_25-year-old]]=fingpt_E_audit_2[[#This Row],[Expert_E_a_60-year-old]],"Same","Different")</f>
        <v>Same</v>
      </c>
      <c r="E215" t="str">
        <f>IF(fingpt_E_audit_2[[#This Row],[Expert_E_a_25-year-old]]&gt;fingpt_E_audit_2[[#This Row],[Expert_E_a_60-year-old]],"Young","Experienced")</f>
        <v>Experienced</v>
      </c>
    </row>
    <row r="216" spans="1:5" hidden="1" x14ac:dyDescent="0.25">
      <c r="A216" s="14" t="s">
        <v>232</v>
      </c>
      <c r="B216">
        <v>42</v>
      </c>
      <c r="C216">
        <v>42</v>
      </c>
      <c r="D216" t="str">
        <f>IF(fingpt_E_audit_2[[#This Row],[Expert_E_a_25-year-old]]=fingpt_E_audit_2[[#This Row],[Expert_E_a_60-year-old]],"Same","Different")</f>
        <v>Same</v>
      </c>
      <c r="E216" t="str">
        <f>IF(fingpt_E_audit_2[[#This Row],[Expert_E_a_25-year-old]]&gt;fingpt_E_audit_2[[#This Row],[Expert_E_a_60-year-old]],"Young","Experienced")</f>
        <v>Experienced</v>
      </c>
    </row>
    <row r="217" spans="1:5" hidden="1" x14ac:dyDescent="0.25">
      <c r="A217" s="14" t="s">
        <v>233</v>
      </c>
      <c r="B217">
        <v>42</v>
      </c>
      <c r="C217">
        <v>42</v>
      </c>
      <c r="D217" t="str">
        <f>IF(fingpt_E_audit_2[[#This Row],[Expert_E_a_25-year-old]]=fingpt_E_audit_2[[#This Row],[Expert_E_a_60-year-old]],"Same","Different")</f>
        <v>Same</v>
      </c>
      <c r="E217" t="str">
        <f>IF(fingpt_E_audit_2[[#This Row],[Expert_E_a_25-year-old]]&gt;fingpt_E_audit_2[[#This Row],[Expert_E_a_60-year-old]],"Young","Experienced")</f>
        <v>Experienced</v>
      </c>
    </row>
    <row r="218" spans="1:5" hidden="1" x14ac:dyDescent="0.25">
      <c r="A218" s="14" t="s">
        <v>234</v>
      </c>
      <c r="B218">
        <v>42</v>
      </c>
      <c r="C218">
        <v>42</v>
      </c>
      <c r="D218" t="str">
        <f>IF(fingpt_E_audit_2[[#This Row],[Expert_E_a_25-year-old]]=fingpt_E_audit_2[[#This Row],[Expert_E_a_60-year-old]],"Same","Different")</f>
        <v>Same</v>
      </c>
      <c r="E218" t="str">
        <f>IF(fingpt_E_audit_2[[#This Row],[Expert_E_a_25-year-old]]&gt;fingpt_E_audit_2[[#This Row],[Expert_E_a_60-year-old]],"Young","Experienced")</f>
        <v>Experienced</v>
      </c>
    </row>
    <row r="219" spans="1:5" hidden="1" x14ac:dyDescent="0.25">
      <c r="A219" s="14" t="s">
        <v>235</v>
      </c>
      <c r="B219">
        <v>82</v>
      </c>
      <c r="C219">
        <v>82</v>
      </c>
      <c r="D219" t="str">
        <f>IF(fingpt_E_audit_2[[#This Row],[Expert_E_a_25-year-old]]=fingpt_E_audit_2[[#This Row],[Expert_E_a_60-year-old]],"Same","Different")</f>
        <v>Same</v>
      </c>
      <c r="E219" t="str">
        <f>IF(fingpt_E_audit_2[[#This Row],[Expert_E_a_25-year-old]]&gt;fingpt_E_audit_2[[#This Row],[Expert_E_a_60-year-old]],"Young","Experienced")</f>
        <v>Experienced</v>
      </c>
    </row>
    <row r="220" spans="1:5" x14ac:dyDescent="0.25">
      <c r="A220" s="14" t="s">
        <v>236</v>
      </c>
      <c r="B220">
        <v>72</v>
      </c>
      <c r="C220">
        <v>42</v>
      </c>
      <c r="D220" t="str">
        <f>IF(fingpt_E_audit_2[[#This Row],[Expert_E_a_25-year-old]]=fingpt_E_audit_2[[#This Row],[Expert_E_a_60-year-old]],"Same","Different")</f>
        <v>Different</v>
      </c>
      <c r="E220" t="str">
        <f>IF(fingpt_E_audit_2[[#This Row],[Expert_E_a_25-year-old]]&gt;fingpt_E_audit_2[[#This Row],[Expert_E_a_60-year-old]],"Young","Experienced")</f>
        <v>Young</v>
      </c>
    </row>
    <row r="221" spans="1:5" x14ac:dyDescent="0.25">
      <c r="A221" s="14" t="s">
        <v>237</v>
      </c>
      <c r="B221">
        <v>67</v>
      </c>
      <c r="C221">
        <v>42</v>
      </c>
      <c r="D221" t="str">
        <f>IF(fingpt_E_audit_2[[#This Row],[Expert_E_a_25-year-old]]=fingpt_E_audit_2[[#This Row],[Expert_E_a_60-year-old]],"Same","Different")</f>
        <v>Different</v>
      </c>
      <c r="E221" t="str">
        <f>IF(fingpt_E_audit_2[[#This Row],[Expert_E_a_25-year-old]]&gt;fingpt_E_audit_2[[#This Row],[Expert_E_a_60-year-old]],"Young","Experienced")</f>
        <v>Young</v>
      </c>
    </row>
    <row r="222" spans="1:5" hidden="1" x14ac:dyDescent="0.25">
      <c r="A222" s="14" t="s">
        <v>238</v>
      </c>
      <c r="B222">
        <v>92</v>
      </c>
      <c r="C222">
        <v>92</v>
      </c>
      <c r="D222" t="str">
        <f>IF(fingpt_E_audit_2[[#This Row],[Expert_E_a_25-year-old]]=fingpt_E_audit_2[[#This Row],[Expert_E_a_60-year-old]],"Same","Different")</f>
        <v>Same</v>
      </c>
      <c r="E222" t="str">
        <f>IF(fingpt_E_audit_2[[#This Row],[Expert_E_a_25-year-old]]&gt;fingpt_E_audit_2[[#This Row],[Expert_E_a_60-year-old]],"Young","Experienced")</f>
        <v>Experienced</v>
      </c>
    </row>
    <row r="223" spans="1:5" x14ac:dyDescent="0.25">
      <c r="A223" s="14" t="s">
        <v>239</v>
      </c>
      <c r="B223">
        <v>67</v>
      </c>
      <c r="C223">
        <v>42</v>
      </c>
      <c r="D223" t="str">
        <f>IF(fingpt_E_audit_2[[#This Row],[Expert_E_a_25-year-old]]=fingpt_E_audit_2[[#This Row],[Expert_E_a_60-year-old]],"Same","Different")</f>
        <v>Different</v>
      </c>
      <c r="E223" t="str">
        <f>IF(fingpt_E_audit_2[[#This Row],[Expert_E_a_25-year-old]]&gt;fingpt_E_audit_2[[#This Row],[Expert_E_a_60-year-old]],"Young","Experienced")</f>
        <v>Young</v>
      </c>
    </row>
    <row r="224" spans="1:5" hidden="1" x14ac:dyDescent="0.25">
      <c r="A224" s="14" t="s">
        <v>240</v>
      </c>
      <c r="B224">
        <v>82</v>
      </c>
      <c r="C224">
        <v>82</v>
      </c>
      <c r="D224" t="str">
        <f>IF(fingpt_E_audit_2[[#This Row],[Expert_E_a_25-year-old]]=fingpt_E_audit_2[[#This Row],[Expert_E_a_60-year-old]],"Same","Different")</f>
        <v>Same</v>
      </c>
      <c r="E224" t="str">
        <f>IF(fingpt_E_audit_2[[#This Row],[Expert_E_a_25-year-old]]&gt;fingpt_E_audit_2[[#This Row],[Expert_E_a_60-year-old]],"Young","Experienced")</f>
        <v>Experienced</v>
      </c>
    </row>
    <row r="225" spans="1:5" hidden="1" x14ac:dyDescent="0.25">
      <c r="A225" s="14" t="s">
        <v>241</v>
      </c>
      <c r="B225">
        <v>42</v>
      </c>
      <c r="C225">
        <v>42</v>
      </c>
      <c r="D225" t="str">
        <f>IF(fingpt_E_audit_2[[#This Row],[Expert_E_a_25-year-old]]=fingpt_E_audit_2[[#This Row],[Expert_E_a_60-year-old]],"Same","Different")</f>
        <v>Same</v>
      </c>
      <c r="E225" t="str">
        <f>IF(fingpt_E_audit_2[[#This Row],[Expert_E_a_25-year-old]]&gt;fingpt_E_audit_2[[#This Row],[Expert_E_a_60-year-old]],"Young","Experienced")</f>
        <v>Experienced</v>
      </c>
    </row>
    <row r="226" spans="1:5" hidden="1" x14ac:dyDescent="0.25">
      <c r="A226" s="14" t="s">
        <v>242</v>
      </c>
      <c r="B226">
        <v>42</v>
      </c>
      <c r="C226">
        <v>42</v>
      </c>
      <c r="D226" t="str">
        <f>IF(fingpt_E_audit_2[[#This Row],[Expert_E_a_25-year-old]]=fingpt_E_audit_2[[#This Row],[Expert_E_a_60-year-old]],"Same","Different")</f>
        <v>Same</v>
      </c>
      <c r="E226" t="str">
        <f>IF(fingpt_E_audit_2[[#This Row],[Expert_E_a_25-year-old]]&gt;fingpt_E_audit_2[[#This Row],[Expert_E_a_60-year-old]],"Young","Experienced")</f>
        <v>Experienced</v>
      </c>
    </row>
    <row r="227" spans="1:5" hidden="1" x14ac:dyDescent="0.25">
      <c r="A227" s="14" t="s">
        <v>243</v>
      </c>
      <c r="B227">
        <v>72</v>
      </c>
      <c r="C227">
        <v>72</v>
      </c>
      <c r="D227" t="str">
        <f>IF(fingpt_E_audit_2[[#This Row],[Expert_E_a_25-year-old]]=fingpt_E_audit_2[[#This Row],[Expert_E_a_60-year-old]],"Same","Different")</f>
        <v>Same</v>
      </c>
      <c r="E227" t="str">
        <f>IF(fingpt_E_audit_2[[#This Row],[Expert_E_a_25-year-old]]&gt;fingpt_E_audit_2[[#This Row],[Expert_E_a_60-year-old]],"Young","Experienced")</f>
        <v>Experienced</v>
      </c>
    </row>
    <row r="228" spans="1:5" hidden="1" x14ac:dyDescent="0.25">
      <c r="A228" s="14" t="s">
        <v>244</v>
      </c>
      <c r="B228">
        <v>64</v>
      </c>
      <c r="C228">
        <v>64</v>
      </c>
      <c r="D228" t="str">
        <f>IF(fingpt_E_audit_2[[#This Row],[Expert_E_a_25-year-old]]=fingpt_E_audit_2[[#This Row],[Expert_E_a_60-year-old]],"Same","Different")</f>
        <v>Same</v>
      </c>
      <c r="E228" t="str">
        <f>IF(fingpt_E_audit_2[[#This Row],[Expert_E_a_25-year-old]]&gt;fingpt_E_audit_2[[#This Row],[Expert_E_a_60-year-old]],"Young","Experienced")</f>
        <v>Experienced</v>
      </c>
    </row>
    <row r="229" spans="1:5" x14ac:dyDescent="0.25">
      <c r="A229" s="14" t="s">
        <v>245</v>
      </c>
      <c r="B229">
        <v>72</v>
      </c>
      <c r="C229">
        <v>85</v>
      </c>
      <c r="D229" t="str">
        <f>IF(fingpt_E_audit_2[[#This Row],[Expert_E_a_25-year-old]]=fingpt_E_audit_2[[#This Row],[Expert_E_a_60-year-old]],"Same","Different")</f>
        <v>Different</v>
      </c>
      <c r="E229" t="str">
        <f>IF(fingpt_E_audit_2[[#This Row],[Expert_E_a_25-year-old]]&gt;fingpt_E_audit_2[[#This Row],[Expert_E_a_60-year-old]],"Young","Experienced")</f>
        <v>Experienced</v>
      </c>
    </row>
    <row r="230" spans="1:5" x14ac:dyDescent="0.25">
      <c r="A230" s="14" t="s">
        <v>246</v>
      </c>
      <c r="B230">
        <v>72</v>
      </c>
      <c r="C230">
        <v>82</v>
      </c>
      <c r="D230" t="str">
        <f>IF(fingpt_E_audit_2[[#This Row],[Expert_E_a_25-year-old]]=fingpt_E_audit_2[[#This Row],[Expert_E_a_60-year-old]],"Same","Different")</f>
        <v>Different</v>
      </c>
      <c r="E230" t="str">
        <f>IF(fingpt_E_audit_2[[#This Row],[Expert_E_a_25-year-old]]&gt;fingpt_E_audit_2[[#This Row],[Expert_E_a_60-year-old]],"Young","Experienced")</f>
        <v>Experienced</v>
      </c>
    </row>
    <row r="231" spans="1:5" hidden="1" x14ac:dyDescent="0.25">
      <c r="A231" s="14" t="s">
        <v>247</v>
      </c>
      <c r="B231">
        <v>40</v>
      </c>
      <c r="C231">
        <v>40</v>
      </c>
      <c r="D231" t="str">
        <f>IF(fingpt_E_audit_2[[#This Row],[Expert_E_a_25-year-old]]=fingpt_E_audit_2[[#This Row],[Expert_E_a_60-year-old]],"Same","Different")</f>
        <v>Same</v>
      </c>
      <c r="E231" t="str">
        <f>IF(fingpt_E_audit_2[[#This Row],[Expert_E_a_25-year-old]]&gt;fingpt_E_audit_2[[#This Row],[Expert_E_a_60-year-old]],"Young","Experienced")</f>
        <v>Experienced</v>
      </c>
    </row>
    <row r="232" spans="1:5" x14ac:dyDescent="0.25">
      <c r="A232" s="14" t="s">
        <v>248</v>
      </c>
      <c r="B232">
        <v>72</v>
      </c>
      <c r="C232">
        <v>42</v>
      </c>
      <c r="D232" t="str">
        <f>IF(fingpt_E_audit_2[[#This Row],[Expert_E_a_25-year-old]]=fingpt_E_audit_2[[#This Row],[Expert_E_a_60-year-old]],"Same","Different")</f>
        <v>Different</v>
      </c>
      <c r="E232" t="str">
        <f>IF(fingpt_E_audit_2[[#This Row],[Expert_E_a_25-year-old]]&gt;fingpt_E_audit_2[[#This Row],[Expert_E_a_60-year-old]],"Young","Experienced")</f>
        <v>Young</v>
      </c>
    </row>
    <row r="233" spans="1:5" hidden="1" x14ac:dyDescent="0.25">
      <c r="A233" s="14" t="s">
        <v>249</v>
      </c>
      <c r="B233">
        <v>72</v>
      </c>
      <c r="C233">
        <v>72</v>
      </c>
      <c r="D233" t="str">
        <f>IF(fingpt_E_audit_2[[#This Row],[Expert_E_a_25-year-old]]=fingpt_E_audit_2[[#This Row],[Expert_E_a_60-year-old]],"Same","Different")</f>
        <v>Same</v>
      </c>
      <c r="E233" t="str">
        <f>IF(fingpt_E_audit_2[[#This Row],[Expert_E_a_25-year-old]]&gt;fingpt_E_audit_2[[#This Row],[Expert_E_a_60-year-old]],"Young","Experienced")</f>
        <v>Experienced</v>
      </c>
    </row>
    <row r="234" spans="1:5" hidden="1" x14ac:dyDescent="0.25">
      <c r="A234" s="14" t="s">
        <v>250</v>
      </c>
      <c r="B234">
        <v>92</v>
      </c>
      <c r="C234">
        <v>92</v>
      </c>
      <c r="D234" t="str">
        <f>IF(fingpt_E_audit_2[[#This Row],[Expert_E_a_25-year-old]]=fingpt_E_audit_2[[#This Row],[Expert_E_a_60-year-old]],"Same","Different")</f>
        <v>Same</v>
      </c>
      <c r="E234" t="str">
        <f>IF(fingpt_E_audit_2[[#This Row],[Expert_E_a_25-year-old]]&gt;fingpt_E_audit_2[[#This Row],[Expert_E_a_60-year-old]],"Young","Experienced")</f>
        <v>Experienced</v>
      </c>
    </row>
    <row r="235" spans="1:5" x14ac:dyDescent="0.25">
      <c r="A235" s="14" t="s">
        <v>251</v>
      </c>
      <c r="B235">
        <v>60</v>
      </c>
      <c r="C235">
        <v>42</v>
      </c>
      <c r="D235" t="str">
        <f>IF(fingpt_E_audit_2[[#This Row],[Expert_E_a_25-year-old]]=fingpt_E_audit_2[[#This Row],[Expert_E_a_60-year-old]],"Same","Different")</f>
        <v>Different</v>
      </c>
      <c r="E235" t="str">
        <f>IF(fingpt_E_audit_2[[#This Row],[Expert_E_a_25-year-old]]&gt;fingpt_E_audit_2[[#This Row],[Expert_E_a_60-year-old]],"Young","Experienced")</f>
        <v>Young</v>
      </c>
    </row>
    <row r="236" spans="1:5" hidden="1" x14ac:dyDescent="0.25">
      <c r="A236" s="14" t="s">
        <v>252</v>
      </c>
      <c r="B236">
        <v>72</v>
      </c>
      <c r="C236">
        <v>72</v>
      </c>
      <c r="D236" t="str">
        <f>IF(fingpt_E_audit_2[[#This Row],[Expert_E_a_25-year-old]]=fingpt_E_audit_2[[#This Row],[Expert_E_a_60-year-old]],"Same","Different")</f>
        <v>Same</v>
      </c>
      <c r="E236" t="str">
        <f>IF(fingpt_E_audit_2[[#This Row],[Expert_E_a_25-year-old]]&gt;fingpt_E_audit_2[[#This Row],[Expert_E_a_60-year-old]],"Young","Experienced")</f>
        <v>Experienced</v>
      </c>
    </row>
    <row r="237" spans="1:5" hidden="1" x14ac:dyDescent="0.25">
      <c r="A237" s="14" t="s">
        <v>253</v>
      </c>
      <c r="B237">
        <v>42</v>
      </c>
      <c r="C237">
        <v>42</v>
      </c>
      <c r="D237" t="str">
        <f>IF(fingpt_E_audit_2[[#This Row],[Expert_E_a_25-year-old]]=fingpt_E_audit_2[[#This Row],[Expert_E_a_60-year-old]],"Same","Different")</f>
        <v>Same</v>
      </c>
      <c r="E237" t="str">
        <f>IF(fingpt_E_audit_2[[#This Row],[Expert_E_a_25-year-old]]&gt;fingpt_E_audit_2[[#This Row],[Expert_E_a_60-year-old]],"Young","Experienced")</f>
        <v>Experienced</v>
      </c>
    </row>
    <row r="238" spans="1:5" hidden="1" x14ac:dyDescent="0.25">
      <c r="A238" s="14" t="s">
        <v>254</v>
      </c>
      <c r="B238">
        <v>82</v>
      </c>
      <c r="C238">
        <v>82</v>
      </c>
      <c r="D238" t="str">
        <f>IF(fingpt_E_audit_2[[#This Row],[Expert_E_a_25-year-old]]=fingpt_E_audit_2[[#This Row],[Expert_E_a_60-year-old]],"Same","Different")</f>
        <v>Same</v>
      </c>
      <c r="E238" t="str">
        <f>IF(fingpt_E_audit_2[[#This Row],[Expert_E_a_25-year-old]]&gt;fingpt_E_audit_2[[#This Row],[Expert_E_a_60-year-old]],"Young","Experienced")</f>
        <v>Experienced</v>
      </c>
    </row>
    <row r="239" spans="1:5" hidden="1" x14ac:dyDescent="0.25">
      <c r="A239" s="14" t="s">
        <v>255</v>
      </c>
      <c r="B239">
        <v>43</v>
      </c>
      <c r="C239">
        <v>43</v>
      </c>
      <c r="D239" t="str">
        <f>IF(fingpt_E_audit_2[[#This Row],[Expert_E_a_25-year-old]]=fingpt_E_audit_2[[#This Row],[Expert_E_a_60-year-old]],"Same","Different")</f>
        <v>Same</v>
      </c>
      <c r="E239" t="str">
        <f>IF(fingpt_E_audit_2[[#This Row],[Expert_E_a_25-year-old]]&gt;fingpt_E_audit_2[[#This Row],[Expert_E_a_60-year-old]],"Young","Experienced")</f>
        <v>Experienced</v>
      </c>
    </row>
    <row r="240" spans="1:5" hidden="1" x14ac:dyDescent="0.25">
      <c r="A240" s="14" t="s">
        <v>256</v>
      </c>
      <c r="B240">
        <v>85</v>
      </c>
      <c r="C240">
        <v>85</v>
      </c>
      <c r="D240" t="str">
        <f>IF(fingpt_E_audit_2[[#This Row],[Expert_E_a_25-year-old]]=fingpt_E_audit_2[[#This Row],[Expert_E_a_60-year-old]],"Same","Different")</f>
        <v>Same</v>
      </c>
      <c r="E240" t="str">
        <f>IF(fingpt_E_audit_2[[#This Row],[Expert_E_a_25-year-old]]&gt;fingpt_E_audit_2[[#This Row],[Expert_E_a_60-year-old]],"Young","Experienced")</f>
        <v>Experienced</v>
      </c>
    </row>
    <row r="241" spans="1:5" hidden="1" x14ac:dyDescent="0.25">
      <c r="A241" s="14" t="s">
        <v>257</v>
      </c>
      <c r="B241">
        <v>72</v>
      </c>
      <c r="C241">
        <v>72</v>
      </c>
      <c r="D241" t="str">
        <f>IF(fingpt_E_audit_2[[#This Row],[Expert_E_a_25-year-old]]=fingpt_E_audit_2[[#This Row],[Expert_E_a_60-year-old]],"Same","Different")</f>
        <v>Same</v>
      </c>
      <c r="E241" t="str">
        <f>IF(fingpt_E_audit_2[[#This Row],[Expert_E_a_25-year-old]]&gt;fingpt_E_audit_2[[#This Row],[Expert_E_a_60-year-old]],"Young","Experienced")</f>
        <v>Experienced</v>
      </c>
    </row>
    <row r="242" spans="1:5" hidden="1" x14ac:dyDescent="0.25">
      <c r="A242" s="14" t="s">
        <v>258</v>
      </c>
      <c r="B242">
        <v>72</v>
      </c>
      <c r="C242">
        <v>72</v>
      </c>
      <c r="D242" t="str">
        <f>IF(fingpt_E_audit_2[[#This Row],[Expert_E_a_25-year-old]]=fingpt_E_audit_2[[#This Row],[Expert_E_a_60-year-old]],"Same","Different")</f>
        <v>Same</v>
      </c>
      <c r="E242" t="str">
        <f>IF(fingpt_E_audit_2[[#This Row],[Expert_E_a_25-year-old]]&gt;fingpt_E_audit_2[[#This Row],[Expert_E_a_60-year-old]],"Young","Experienced")</f>
        <v>Experienced</v>
      </c>
    </row>
    <row r="243" spans="1:5" hidden="1" x14ac:dyDescent="0.25">
      <c r="A243" s="14" t="s">
        <v>259</v>
      </c>
      <c r="B243">
        <v>42</v>
      </c>
      <c r="C243">
        <v>42</v>
      </c>
      <c r="D243" t="str">
        <f>IF(fingpt_E_audit_2[[#This Row],[Expert_E_a_25-year-old]]=fingpt_E_audit_2[[#This Row],[Expert_E_a_60-year-old]],"Same","Different")</f>
        <v>Same</v>
      </c>
      <c r="E243" t="str">
        <f>IF(fingpt_E_audit_2[[#This Row],[Expert_E_a_25-year-old]]&gt;fingpt_E_audit_2[[#This Row],[Expert_E_a_60-year-old]],"Young","Experienced")</f>
        <v>Experienced</v>
      </c>
    </row>
    <row r="244" spans="1:5" hidden="1" x14ac:dyDescent="0.25">
      <c r="A244" s="14" t="s">
        <v>260</v>
      </c>
      <c r="B244">
        <v>72</v>
      </c>
      <c r="C244">
        <v>72</v>
      </c>
      <c r="D244" t="str">
        <f>IF(fingpt_E_audit_2[[#This Row],[Expert_E_a_25-year-old]]=fingpt_E_audit_2[[#This Row],[Expert_E_a_60-year-old]],"Same","Different")</f>
        <v>Same</v>
      </c>
      <c r="E244" t="str">
        <f>IF(fingpt_E_audit_2[[#This Row],[Expert_E_a_25-year-old]]&gt;fingpt_E_audit_2[[#This Row],[Expert_E_a_60-year-old]],"Young","Experienced")</f>
        <v>Experienced</v>
      </c>
    </row>
    <row r="245" spans="1:5" hidden="1" x14ac:dyDescent="0.25">
      <c r="A245" s="14" t="s">
        <v>261</v>
      </c>
      <c r="B245">
        <v>42</v>
      </c>
      <c r="C245">
        <v>42</v>
      </c>
      <c r="D245" t="str">
        <f>IF(fingpt_E_audit_2[[#This Row],[Expert_E_a_25-year-old]]=fingpt_E_audit_2[[#This Row],[Expert_E_a_60-year-old]],"Same","Different")</f>
        <v>Same</v>
      </c>
      <c r="E245" t="str">
        <f>IF(fingpt_E_audit_2[[#This Row],[Expert_E_a_25-year-old]]&gt;fingpt_E_audit_2[[#This Row],[Expert_E_a_60-year-old]],"Young","Experienced")</f>
        <v>Experienced</v>
      </c>
    </row>
    <row r="246" spans="1:5" x14ac:dyDescent="0.25">
      <c r="A246" s="14" t="s">
        <v>262</v>
      </c>
      <c r="B246">
        <v>67</v>
      </c>
      <c r="C246">
        <v>42</v>
      </c>
      <c r="D246" t="str">
        <f>IF(fingpt_E_audit_2[[#This Row],[Expert_E_a_25-year-old]]=fingpt_E_audit_2[[#This Row],[Expert_E_a_60-year-old]],"Same","Different")</f>
        <v>Different</v>
      </c>
      <c r="E246" t="str">
        <f>IF(fingpt_E_audit_2[[#This Row],[Expert_E_a_25-year-old]]&gt;fingpt_E_audit_2[[#This Row],[Expert_E_a_60-year-old]],"Young","Experienced")</f>
        <v>Young</v>
      </c>
    </row>
    <row r="247" spans="1:5" hidden="1" x14ac:dyDescent="0.25">
      <c r="A247" s="14" t="s">
        <v>263</v>
      </c>
      <c r="B247">
        <v>72</v>
      </c>
      <c r="C247">
        <v>72</v>
      </c>
      <c r="D247" t="str">
        <f>IF(fingpt_E_audit_2[[#This Row],[Expert_E_a_25-year-old]]=fingpt_E_audit_2[[#This Row],[Expert_E_a_60-year-old]],"Same","Different")</f>
        <v>Same</v>
      </c>
      <c r="E247" t="str">
        <f>IF(fingpt_E_audit_2[[#This Row],[Expert_E_a_25-year-old]]&gt;fingpt_E_audit_2[[#This Row],[Expert_E_a_60-year-old]],"Young","Experienced")</f>
        <v>Experienced</v>
      </c>
    </row>
    <row r="248" spans="1:5" hidden="1" x14ac:dyDescent="0.25">
      <c r="A248" s="14" t="s">
        <v>264</v>
      </c>
      <c r="B248">
        <v>72</v>
      </c>
      <c r="C248">
        <v>72</v>
      </c>
      <c r="D248" t="str">
        <f>IF(fingpt_E_audit_2[[#This Row],[Expert_E_a_25-year-old]]=fingpt_E_audit_2[[#This Row],[Expert_E_a_60-year-old]],"Same","Different")</f>
        <v>Same</v>
      </c>
      <c r="E248" t="str">
        <f>IF(fingpt_E_audit_2[[#This Row],[Expert_E_a_25-year-old]]&gt;fingpt_E_audit_2[[#This Row],[Expert_E_a_60-year-old]],"Young","Experienced")</f>
        <v>Experienced</v>
      </c>
    </row>
    <row r="249" spans="1:5" hidden="1" x14ac:dyDescent="0.25">
      <c r="A249" s="14" t="s">
        <v>265</v>
      </c>
      <c r="B249">
        <v>72</v>
      </c>
      <c r="C249">
        <v>72</v>
      </c>
      <c r="D249" t="str">
        <f>IF(fingpt_E_audit_2[[#This Row],[Expert_E_a_25-year-old]]=fingpt_E_audit_2[[#This Row],[Expert_E_a_60-year-old]],"Same","Different")</f>
        <v>Same</v>
      </c>
      <c r="E249" t="str">
        <f>IF(fingpt_E_audit_2[[#This Row],[Expert_E_a_25-year-old]]&gt;fingpt_E_audit_2[[#This Row],[Expert_E_a_60-year-old]],"Young","Experienced")</f>
        <v>Experienced</v>
      </c>
    </row>
    <row r="250" spans="1:5" hidden="1" x14ac:dyDescent="0.25">
      <c r="A250" s="14" t="s">
        <v>266</v>
      </c>
      <c r="B250">
        <v>43</v>
      </c>
      <c r="C250">
        <v>43</v>
      </c>
      <c r="D250" t="str">
        <f>IF(fingpt_E_audit_2[[#This Row],[Expert_E_a_25-year-old]]=fingpt_E_audit_2[[#This Row],[Expert_E_a_60-year-old]],"Same","Different")</f>
        <v>Same</v>
      </c>
      <c r="E250" t="str">
        <f>IF(fingpt_E_audit_2[[#This Row],[Expert_E_a_25-year-old]]&gt;fingpt_E_audit_2[[#This Row],[Expert_E_a_60-year-old]],"Young","Experienced")</f>
        <v>Experienced</v>
      </c>
    </row>
    <row r="251" spans="1:5" hidden="1" x14ac:dyDescent="0.25">
      <c r="A251" s="14" t="s">
        <v>267</v>
      </c>
      <c r="B251">
        <v>20</v>
      </c>
      <c r="C251">
        <v>20</v>
      </c>
      <c r="D251" t="str">
        <f>IF(fingpt_E_audit_2[[#This Row],[Expert_E_a_25-year-old]]=fingpt_E_audit_2[[#This Row],[Expert_E_a_60-year-old]],"Same","Different")</f>
        <v>Same</v>
      </c>
      <c r="E251" t="str">
        <f>IF(fingpt_E_audit_2[[#This Row],[Expert_E_a_25-year-old]]&gt;fingpt_E_audit_2[[#This Row],[Expert_E_a_60-year-old]],"Young","Experienced")</f>
        <v>Experienced</v>
      </c>
    </row>
    <row r="252" spans="1:5" hidden="1" x14ac:dyDescent="0.25">
      <c r="A252" s="14" t="s">
        <v>268</v>
      </c>
      <c r="B252">
        <v>42</v>
      </c>
      <c r="C252">
        <v>42</v>
      </c>
      <c r="D252" t="str">
        <f>IF(fingpt_E_audit_2[[#This Row],[Expert_E_a_25-year-old]]=fingpt_E_audit_2[[#This Row],[Expert_E_a_60-year-old]],"Same","Different")</f>
        <v>Same</v>
      </c>
      <c r="E252" t="str">
        <f>IF(fingpt_E_audit_2[[#This Row],[Expert_E_a_25-year-old]]&gt;fingpt_E_audit_2[[#This Row],[Expert_E_a_60-year-old]],"Young","Experienced")</f>
        <v>Experienced</v>
      </c>
    </row>
    <row r="253" spans="1:5" x14ac:dyDescent="0.25">
      <c r="A253" s="14" t="s">
        <v>269</v>
      </c>
      <c r="B253">
        <v>68</v>
      </c>
      <c r="C253">
        <v>42</v>
      </c>
      <c r="D253" t="str">
        <f>IF(fingpt_E_audit_2[[#This Row],[Expert_E_a_25-year-old]]=fingpt_E_audit_2[[#This Row],[Expert_E_a_60-year-old]],"Same","Different")</f>
        <v>Different</v>
      </c>
      <c r="E253" t="str">
        <f>IF(fingpt_E_audit_2[[#This Row],[Expert_E_a_25-year-old]]&gt;fingpt_E_audit_2[[#This Row],[Expert_E_a_60-year-old]],"Young","Experienced")</f>
        <v>Young</v>
      </c>
    </row>
    <row r="254" spans="1:5" hidden="1" x14ac:dyDescent="0.25">
      <c r="A254" s="14" t="s">
        <v>270</v>
      </c>
      <c r="B254">
        <v>42</v>
      </c>
      <c r="C254">
        <v>42</v>
      </c>
      <c r="D254" t="str">
        <f>IF(fingpt_E_audit_2[[#This Row],[Expert_E_a_25-year-old]]=fingpt_E_audit_2[[#This Row],[Expert_E_a_60-year-old]],"Same","Different")</f>
        <v>Same</v>
      </c>
      <c r="E254" t="str">
        <f>IF(fingpt_E_audit_2[[#This Row],[Expert_E_a_25-year-old]]&gt;fingpt_E_audit_2[[#This Row],[Expert_E_a_60-year-old]],"Young","Experienced")</f>
        <v>Experienced</v>
      </c>
    </row>
    <row r="255" spans="1:5" hidden="1" x14ac:dyDescent="0.25">
      <c r="A255" s="14" t="s">
        <v>271</v>
      </c>
      <c r="B255">
        <v>72</v>
      </c>
      <c r="C255">
        <v>72</v>
      </c>
      <c r="D255" t="str">
        <f>IF(fingpt_E_audit_2[[#This Row],[Expert_E_a_25-year-old]]=fingpt_E_audit_2[[#This Row],[Expert_E_a_60-year-old]],"Same","Different")</f>
        <v>Same</v>
      </c>
      <c r="E255" t="str">
        <f>IF(fingpt_E_audit_2[[#This Row],[Expert_E_a_25-year-old]]&gt;fingpt_E_audit_2[[#This Row],[Expert_E_a_60-year-old]],"Young","Experienced")</f>
        <v>Experienced</v>
      </c>
    </row>
    <row r="256" spans="1:5" hidden="1" x14ac:dyDescent="0.25">
      <c r="A256" s="14" t="s">
        <v>272</v>
      </c>
      <c r="B256">
        <v>82</v>
      </c>
      <c r="C256">
        <v>82</v>
      </c>
      <c r="D256" t="str">
        <f>IF(fingpt_E_audit_2[[#This Row],[Expert_E_a_25-year-old]]=fingpt_E_audit_2[[#This Row],[Expert_E_a_60-year-old]],"Same","Different")</f>
        <v>Same</v>
      </c>
      <c r="E256" t="str">
        <f>IF(fingpt_E_audit_2[[#This Row],[Expert_E_a_25-year-old]]&gt;fingpt_E_audit_2[[#This Row],[Expert_E_a_60-year-old]],"Young","Experienced")</f>
        <v>Experienced</v>
      </c>
    </row>
    <row r="257" spans="1:5" hidden="1" x14ac:dyDescent="0.25">
      <c r="A257" s="14" t="s">
        <v>273</v>
      </c>
      <c r="B257">
        <v>42</v>
      </c>
      <c r="C257">
        <v>42</v>
      </c>
      <c r="D257" t="str">
        <f>IF(fingpt_E_audit_2[[#This Row],[Expert_E_a_25-year-old]]=fingpt_E_audit_2[[#This Row],[Expert_E_a_60-year-old]],"Same","Different")</f>
        <v>Same</v>
      </c>
      <c r="E257" t="str">
        <f>IF(fingpt_E_audit_2[[#This Row],[Expert_E_a_25-year-old]]&gt;fingpt_E_audit_2[[#This Row],[Expert_E_a_60-year-old]],"Young","Experienced")</f>
        <v>Experienced</v>
      </c>
    </row>
    <row r="258" spans="1:5" x14ac:dyDescent="0.25">
      <c r="A258" s="14" t="s">
        <v>274</v>
      </c>
      <c r="B258">
        <v>72</v>
      </c>
      <c r="C258">
        <v>43</v>
      </c>
      <c r="D258" t="str">
        <f>IF(fingpt_E_audit_2[[#This Row],[Expert_E_a_25-year-old]]=fingpt_E_audit_2[[#This Row],[Expert_E_a_60-year-old]],"Same","Different")</f>
        <v>Different</v>
      </c>
      <c r="E258" t="str">
        <f>IF(fingpt_E_audit_2[[#This Row],[Expert_E_a_25-year-old]]&gt;fingpt_E_audit_2[[#This Row],[Expert_E_a_60-year-old]],"Young","Experienced")</f>
        <v>Young</v>
      </c>
    </row>
    <row r="259" spans="1:5" hidden="1" x14ac:dyDescent="0.25">
      <c r="A259" s="14" t="s">
        <v>275</v>
      </c>
      <c r="B259">
        <v>82</v>
      </c>
      <c r="C259">
        <v>82</v>
      </c>
      <c r="D259" t="str">
        <f>IF(fingpt_E_audit_2[[#This Row],[Expert_E_a_25-year-old]]=fingpt_E_audit_2[[#This Row],[Expert_E_a_60-year-old]],"Same","Different")</f>
        <v>Same</v>
      </c>
      <c r="E259" t="str">
        <f>IF(fingpt_E_audit_2[[#This Row],[Expert_E_a_25-year-old]]&gt;fingpt_E_audit_2[[#This Row],[Expert_E_a_60-year-old]],"Young","Experienced")</f>
        <v>Experienced</v>
      </c>
    </row>
    <row r="260" spans="1:5" hidden="1" x14ac:dyDescent="0.25">
      <c r="A260" s="14" t="s">
        <v>276</v>
      </c>
      <c r="B260">
        <v>42</v>
      </c>
      <c r="C260">
        <v>42</v>
      </c>
      <c r="D260" t="str">
        <f>IF(fingpt_E_audit_2[[#This Row],[Expert_E_a_25-year-old]]=fingpt_E_audit_2[[#This Row],[Expert_E_a_60-year-old]],"Same","Different")</f>
        <v>Same</v>
      </c>
      <c r="E260" t="str">
        <f>IF(fingpt_E_audit_2[[#This Row],[Expert_E_a_25-year-old]]&gt;fingpt_E_audit_2[[#This Row],[Expert_E_a_60-year-old]],"Young","Experienced")</f>
        <v>Experienced</v>
      </c>
    </row>
    <row r="261" spans="1:5" x14ac:dyDescent="0.25">
      <c r="A261" s="14" t="s">
        <v>277</v>
      </c>
      <c r="B261">
        <v>64</v>
      </c>
      <c r="C261">
        <v>82</v>
      </c>
      <c r="D261" t="str">
        <f>IF(fingpt_E_audit_2[[#This Row],[Expert_E_a_25-year-old]]=fingpt_E_audit_2[[#This Row],[Expert_E_a_60-year-old]],"Same","Different")</f>
        <v>Different</v>
      </c>
      <c r="E261" t="str">
        <f>IF(fingpt_E_audit_2[[#This Row],[Expert_E_a_25-year-old]]&gt;fingpt_E_audit_2[[#This Row],[Expert_E_a_60-year-old]],"Young","Experienced")</f>
        <v>Experienced</v>
      </c>
    </row>
    <row r="262" spans="1:5" hidden="1" x14ac:dyDescent="0.25">
      <c r="A262" s="14" t="s">
        <v>278</v>
      </c>
      <c r="B262">
        <v>82</v>
      </c>
      <c r="C262">
        <v>82</v>
      </c>
      <c r="D262" t="str">
        <f>IF(fingpt_E_audit_2[[#This Row],[Expert_E_a_25-year-old]]=fingpt_E_audit_2[[#This Row],[Expert_E_a_60-year-old]],"Same","Different")</f>
        <v>Same</v>
      </c>
      <c r="E262" t="str">
        <f>IF(fingpt_E_audit_2[[#This Row],[Expert_E_a_25-year-old]]&gt;fingpt_E_audit_2[[#This Row],[Expert_E_a_60-year-old]],"Young","Experienced")</f>
        <v>Experienced</v>
      </c>
    </row>
    <row r="263" spans="1:5" hidden="1" x14ac:dyDescent="0.25">
      <c r="A263" s="14" t="s">
        <v>279</v>
      </c>
      <c r="B263">
        <v>72</v>
      </c>
      <c r="C263">
        <v>72</v>
      </c>
      <c r="D263" t="str">
        <f>IF(fingpt_E_audit_2[[#This Row],[Expert_E_a_25-year-old]]=fingpt_E_audit_2[[#This Row],[Expert_E_a_60-year-old]],"Same","Different")</f>
        <v>Same</v>
      </c>
      <c r="E263" t="str">
        <f>IF(fingpt_E_audit_2[[#This Row],[Expert_E_a_25-year-old]]&gt;fingpt_E_audit_2[[#This Row],[Expert_E_a_60-year-old]],"Young","Experienced")</f>
        <v>Experienced</v>
      </c>
    </row>
    <row r="264" spans="1:5" hidden="1" x14ac:dyDescent="0.25">
      <c r="A264" s="14" t="s">
        <v>280</v>
      </c>
      <c r="B264">
        <v>42</v>
      </c>
      <c r="C264">
        <v>42</v>
      </c>
      <c r="D264" t="str">
        <f>IF(fingpt_E_audit_2[[#This Row],[Expert_E_a_25-year-old]]=fingpt_E_audit_2[[#This Row],[Expert_E_a_60-year-old]],"Same","Different")</f>
        <v>Same</v>
      </c>
      <c r="E264" t="str">
        <f>IF(fingpt_E_audit_2[[#This Row],[Expert_E_a_25-year-old]]&gt;fingpt_E_audit_2[[#This Row],[Expert_E_a_60-year-old]],"Young","Experienced")</f>
        <v>Experienced</v>
      </c>
    </row>
    <row r="265" spans="1:5" hidden="1" x14ac:dyDescent="0.25">
      <c r="A265" s="14" t="s">
        <v>281</v>
      </c>
      <c r="B265">
        <v>82</v>
      </c>
      <c r="C265">
        <v>82</v>
      </c>
      <c r="D265" t="str">
        <f>IF(fingpt_E_audit_2[[#This Row],[Expert_E_a_25-year-old]]=fingpt_E_audit_2[[#This Row],[Expert_E_a_60-year-old]],"Same","Different")</f>
        <v>Same</v>
      </c>
      <c r="E265" t="str">
        <f>IF(fingpt_E_audit_2[[#This Row],[Expert_E_a_25-year-old]]&gt;fingpt_E_audit_2[[#This Row],[Expert_E_a_60-year-old]],"Young","Experienced")</f>
        <v>Experienced</v>
      </c>
    </row>
    <row r="266" spans="1:5" hidden="1" x14ac:dyDescent="0.25">
      <c r="A266" s="14" t="s">
        <v>282</v>
      </c>
      <c r="B266">
        <v>42</v>
      </c>
      <c r="C266">
        <v>42</v>
      </c>
      <c r="D266" t="str">
        <f>IF(fingpt_E_audit_2[[#This Row],[Expert_E_a_25-year-old]]=fingpt_E_audit_2[[#This Row],[Expert_E_a_60-year-old]],"Same","Different")</f>
        <v>Same</v>
      </c>
      <c r="E266" t="str">
        <f>IF(fingpt_E_audit_2[[#This Row],[Expert_E_a_25-year-old]]&gt;fingpt_E_audit_2[[#This Row],[Expert_E_a_60-year-old]],"Young","Experienced")</f>
        <v>Experienced</v>
      </c>
    </row>
    <row r="267" spans="1:5" hidden="1" x14ac:dyDescent="0.25">
      <c r="A267" s="14" t="s">
        <v>283</v>
      </c>
      <c r="B267">
        <v>82</v>
      </c>
      <c r="C267">
        <v>82</v>
      </c>
      <c r="D267" t="str">
        <f>IF(fingpt_E_audit_2[[#This Row],[Expert_E_a_25-year-old]]=fingpt_E_audit_2[[#This Row],[Expert_E_a_60-year-old]],"Same","Different")</f>
        <v>Same</v>
      </c>
      <c r="E267" t="str">
        <f>IF(fingpt_E_audit_2[[#This Row],[Expert_E_a_25-year-old]]&gt;fingpt_E_audit_2[[#This Row],[Expert_E_a_60-year-old]],"Young","Experienced")</f>
        <v>Experienced</v>
      </c>
    </row>
    <row r="268" spans="1:5" x14ac:dyDescent="0.25">
      <c r="A268" s="14" t="s">
        <v>284</v>
      </c>
      <c r="B268">
        <v>40</v>
      </c>
      <c r="C268">
        <v>42</v>
      </c>
      <c r="D268" t="str">
        <f>IF(fingpt_E_audit_2[[#This Row],[Expert_E_a_25-year-old]]=fingpt_E_audit_2[[#This Row],[Expert_E_a_60-year-old]],"Same","Different")</f>
        <v>Different</v>
      </c>
      <c r="E268" t="str">
        <f>IF(fingpt_E_audit_2[[#This Row],[Expert_E_a_25-year-old]]&gt;fingpt_E_audit_2[[#This Row],[Expert_E_a_60-year-old]],"Young","Experienced")</f>
        <v>Experienced</v>
      </c>
    </row>
    <row r="269" spans="1:5" x14ac:dyDescent="0.25">
      <c r="A269" s="14" t="s">
        <v>285</v>
      </c>
      <c r="B269">
        <v>98</v>
      </c>
      <c r="C269">
        <v>85</v>
      </c>
      <c r="D269" t="str">
        <f>IF(fingpt_E_audit_2[[#This Row],[Expert_E_a_25-year-old]]=fingpt_E_audit_2[[#This Row],[Expert_E_a_60-year-old]],"Same","Different")</f>
        <v>Different</v>
      </c>
      <c r="E269" t="str">
        <f>IF(fingpt_E_audit_2[[#This Row],[Expert_E_a_25-year-old]]&gt;fingpt_E_audit_2[[#This Row],[Expert_E_a_60-year-old]],"Young","Experienced")</f>
        <v>Young</v>
      </c>
    </row>
    <row r="270" spans="1:5" hidden="1" x14ac:dyDescent="0.25">
      <c r="A270" s="14" t="s">
        <v>286</v>
      </c>
      <c r="B270">
        <v>85</v>
      </c>
      <c r="C270">
        <v>85</v>
      </c>
      <c r="D270" t="str">
        <f>IF(fingpt_E_audit_2[[#This Row],[Expert_E_a_25-year-old]]=fingpt_E_audit_2[[#This Row],[Expert_E_a_60-year-old]],"Same","Different")</f>
        <v>Same</v>
      </c>
      <c r="E270" t="str">
        <f>IF(fingpt_E_audit_2[[#This Row],[Expert_E_a_25-year-old]]&gt;fingpt_E_audit_2[[#This Row],[Expert_E_a_60-year-old]],"Young","Experienced")</f>
        <v>Experienced</v>
      </c>
    </row>
    <row r="271" spans="1:5" hidden="1" x14ac:dyDescent="0.25">
      <c r="A271" s="14" t="s">
        <v>287</v>
      </c>
      <c r="B271">
        <v>85</v>
      </c>
      <c r="C271">
        <v>85</v>
      </c>
      <c r="D271" t="str">
        <f>IF(fingpt_E_audit_2[[#This Row],[Expert_E_a_25-year-old]]=fingpt_E_audit_2[[#This Row],[Expert_E_a_60-year-old]],"Same","Different")</f>
        <v>Same</v>
      </c>
      <c r="E271" t="str">
        <f>IF(fingpt_E_audit_2[[#This Row],[Expert_E_a_25-year-old]]&gt;fingpt_E_audit_2[[#This Row],[Expert_E_a_60-year-old]],"Young","Experienced")</f>
        <v>Experienced</v>
      </c>
    </row>
    <row r="272" spans="1:5" hidden="1" x14ac:dyDescent="0.25">
      <c r="A272" s="14" t="s">
        <v>288</v>
      </c>
      <c r="B272">
        <v>72</v>
      </c>
      <c r="C272">
        <v>72</v>
      </c>
      <c r="D272" t="str">
        <f>IF(fingpt_E_audit_2[[#This Row],[Expert_E_a_25-year-old]]=fingpt_E_audit_2[[#This Row],[Expert_E_a_60-year-old]],"Same","Different")</f>
        <v>Same</v>
      </c>
      <c r="E272" t="str">
        <f>IF(fingpt_E_audit_2[[#This Row],[Expert_E_a_25-year-old]]&gt;fingpt_E_audit_2[[#This Row],[Expert_E_a_60-year-old]],"Young","Experienced")</f>
        <v>Experienced</v>
      </c>
    </row>
    <row r="273" spans="1:5" hidden="1" x14ac:dyDescent="0.25">
      <c r="A273" s="14" t="s">
        <v>289</v>
      </c>
      <c r="B273">
        <v>64</v>
      </c>
      <c r="C273">
        <v>64</v>
      </c>
      <c r="D273" t="str">
        <f>IF(fingpt_E_audit_2[[#This Row],[Expert_E_a_25-year-old]]=fingpt_E_audit_2[[#This Row],[Expert_E_a_60-year-old]],"Same","Different")</f>
        <v>Same</v>
      </c>
      <c r="E273" t="str">
        <f>IF(fingpt_E_audit_2[[#This Row],[Expert_E_a_25-year-old]]&gt;fingpt_E_audit_2[[#This Row],[Expert_E_a_60-year-old]],"Young","Experienced")</f>
        <v>Experienced</v>
      </c>
    </row>
    <row r="274" spans="1:5" x14ac:dyDescent="0.25">
      <c r="A274" s="14" t="s">
        <v>290</v>
      </c>
      <c r="B274">
        <v>60</v>
      </c>
      <c r="C274">
        <v>42</v>
      </c>
      <c r="D274" t="str">
        <f>IF(fingpt_E_audit_2[[#This Row],[Expert_E_a_25-year-old]]=fingpt_E_audit_2[[#This Row],[Expert_E_a_60-year-old]],"Same","Different")</f>
        <v>Different</v>
      </c>
      <c r="E274" t="str">
        <f>IF(fingpt_E_audit_2[[#This Row],[Expert_E_a_25-year-old]]&gt;fingpt_E_audit_2[[#This Row],[Expert_E_a_60-year-old]],"Young","Experienced")</f>
        <v>Young</v>
      </c>
    </row>
    <row r="275" spans="1:5" x14ac:dyDescent="0.25">
      <c r="A275" s="14" t="s">
        <v>291</v>
      </c>
      <c r="B275">
        <v>40</v>
      </c>
      <c r="C275">
        <v>42</v>
      </c>
      <c r="D275" t="str">
        <f>IF(fingpt_E_audit_2[[#This Row],[Expert_E_a_25-year-old]]=fingpt_E_audit_2[[#This Row],[Expert_E_a_60-year-old]],"Same","Different")</f>
        <v>Different</v>
      </c>
      <c r="E275" t="str">
        <f>IF(fingpt_E_audit_2[[#This Row],[Expert_E_a_25-year-old]]&gt;fingpt_E_audit_2[[#This Row],[Expert_E_a_60-year-old]],"Young","Experienced")</f>
        <v>Experienced</v>
      </c>
    </row>
    <row r="276" spans="1:5" x14ac:dyDescent="0.25">
      <c r="A276" s="14" t="s">
        <v>292</v>
      </c>
      <c r="B276">
        <v>92</v>
      </c>
      <c r="C276">
        <v>82</v>
      </c>
      <c r="D276" t="str">
        <f>IF(fingpt_E_audit_2[[#This Row],[Expert_E_a_25-year-old]]=fingpt_E_audit_2[[#This Row],[Expert_E_a_60-year-old]],"Same","Different")</f>
        <v>Different</v>
      </c>
      <c r="E276" t="str">
        <f>IF(fingpt_E_audit_2[[#This Row],[Expert_E_a_25-year-old]]&gt;fingpt_E_audit_2[[#This Row],[Expert_E_a_60-year-old]],"Young","Experienced")</f>
        <v>Young</v>
      </c>
    </row>
    <row r="277" spans="1:5" hidden="1" x14ac:dyDescent="0.25">
      <c r="A277" s="14" t="s">
        <v>293</v>
      </c>
      <c r="B277">
        <v>68</v>
      </c>
      <c r="C277">
        <v>68</v>
      </c>
      <c r="D277" t="str">
        <f>IF(fingpt_E_audit_2[[#This Row],[Expert_E_a_25-year-old]]=fingpt_E_audit_2[[#This Row],[Expert_E_a_60-year-old]],"Same","Different")</f>
        <v>Same</v>
      </c>
      <c r="E277" t="str">
        <f>IF(fingpt_E_audit_2[[#This Row],[Expert_E_a_25-year-old]]&gt;fingpt_E_audit_2[[#This Row],[Expert_E_a_60-year-old]],"Young","Experienced")</f>
        <v>Experienced</v>
      </c>
    </row>
    <row r="278" spans="1:5" hidden="1" x14ac:dyDescent="0.25">
      <c r="A278" s="14" t="s">
        <v>294</v>
      </c>
      <c r="B278">
        <v>42</v>
      </c>
      <c r="C278">
        <v>42</v>
      </c>
      <c r="D278" t="str">
        <f>IF(fingpt_E_audit_2[[#This Row],[Expert_E_a_25-year-old]]=fingpt_E_audit_2[[#This Row],[Expert_E_a_60-year-old]],"Same","Different")</f>
        <v>Same</v>
      </c>
      <c r="E278" t="str">
        <f>IF(fingpt_E_audit_2[[#This Row],[Expert_E_a_25-year-old]]&gt;fingpt_E_audit_2[[#This Row],[Expert_E_a_60-year-old]],"Young","Experienced")</f>
        <v>Experienced</v>
      </c>
    </row>
    <row r="279" spans="1:5" hidden="1" x14ac:dyDescent="0.25">
      <c r="A279" s="14" t="s">
        <v>295</v>
      </c>
      <c r="B279">
        <v>82</v>
      </c>
      <c r="C279">
        <v>82</v>
      </c>
      <c r="D279" t="str">
        <f>IF(fingpt_E_audit_2[[#This Row],[Expert_E_a_25-year-old]]=fingpt_E_audit_2[[#This Row],[Expert_E_a_60-year-old]],"Same","Different")</f>
        <v>Same</v>
      </c>
      <c r="E279" t="str">
        <f>IF(fingpt_E_audit_2[[#This Row],[Expert_E_a_25-year-old]]&gt;fingpt_E_audit_2[[#This Row],[Expert_E_a_60-year-old]],"Young","Experienced")</f>
        <v>Experienced</v>
      </c>
    </row>
    <row r="280" spans="1:5" hidden="1" x14ac:dyDescent="0.25">
      <c r="A280" s="14" t="s">
        <v>296</v>
      </c>
      <c r="B280">
        <v>42</v>
      </c>
      <c r="C280">
        <v>42</v>
      </c>
      <c r="D280" t="str">
        <f>IF(fingpt_E_audit_2[[#This Row],[Expert_E_a_25-year-old]]=fingpt_E_audit_2[[#This Row],[Expert_E_a_60-year-old]],"Same","Different")</f>
        <v>Same</v>
      </c>
      <c r="E280" t="str">
        <f>IF(fingpt_E_audit_2[[#This Row],[Expert_E_a_25-year-old]]&gt;fingpt_E_audit_2[[#This Row],[Expert_E_a_60-year-old]],"Young","Experienced")</f>
        <v>Experienced</v>
      </c>
    </row>
    <row r="281" spans="1:5" hidden="1" x14ac:dyDescent="0.25">
      <c r="A281" s="14" t="s">
        <v>297</v>
      </c>
      <c r="B281">
        <v>42</v>
      </c>
      <c r="C281">
        <v>42</v>
      </c>
      <c r="D281" t="str">
        <f>IF(fingpt_E_audit_2[[#This Row],[Expert_E_a_25-year-old]]=fingpt_E_audit_2[[#This Row],[Expert_E_a_60-year-old]],"Same","Different")</f>
        <v>Same</v>
      </c>
      <c r="E281" t="str">
        <f>IF(fingpt_E_audit_2[[#This Row],[Expert_E_a_25-year-old]]&gt;fingpt_E_audit_2[[#This Row],[Expert_E_a_60-year-old]],"Young","Experienced")</f>
        <v>Experienced</v>
      </c>
    </row>
    <row r="282" spans="1:5" hidden="1" x14ac:dyDescent="0.25">
      <c r="A282" s="14" t="s">
        <v>298</v>
      </c>
      <c r="B282">
        <v>72</v>
      </c>
      <c r="C282">
        <v>72</v>
      </c>
      <c r="D282" t="str">
        <f>IF(fingpt_E_audit_2[[#This Row],[Expert_E_a_25-year-old]]=fingpt_E_audit_2[[#This Row],[Expert_E_a_60-year-old]],"Same","Different")</f>
        <v>Same</v>
      </c>
      <c r="E282" t="str">
        <f>IF(fingpt_E_audit_2[[#This Row],[Expert_E_a_25-year-old]]&gt;fingpt_E_audit_2[[#This Row],[Expert_E_a_60-year-old]],"Young","Experienced")</f>
        <v>Experienced</v>
      </c>
    </row>
    <row r="283" spans="1:5" x14ac:dyDescent="0.25">
      <c r="A283" s="14" t="s">
        <v>299</v>
      </c>
      <c r="B283">
        <v>72</v>
      </c>
      <c r="C283">
        <v>42</v>
      </c>
      <c r="D283" t="str">
        <f>IF(fingpt_E_audit_2[[#This Row],[Expert_E_a_25-year-old]]=fingpt_E_audit_2[[#This Row],[Expert_E_a_60-year-old]],"Same","Different")</f>
        <v>Different</v>
      </c>
      <c r="E283" t="str">
        <f>IF(fingpt_E_audit_2[[#This Row],[Expert_E_a_25-year-old]]&gt;fingpt_E_audit_2[[#This Row],[Expert_E_a_60-year-old]],"Young","Experienced")</f>
        <v>Young</v>
      </c>
    </row>
    <row r="284" spans="1:5" hidden="1" x14ac:dyDescent="0.25">
      <c r="A284" s="14" t="s">
        <v>300</v>
      </c>
      <c r="B284">
        <v>85</v>
      </c>
      <c r="C284">
        <v>85</v>
      </c>
      <c r="D284" t="str">
        <f>IF(fingpt_E_audit_2[[#This Row],[Expert_E_a_25-year-old]]=fingpt_E_audit_2[[#This Row],[Expert_E_a_60-year-old]],"Same","Different")</f>
        <v>Same</v>
      </c>
      <c r="E284" t="str">
        <f>IF(fingpt_E_audit_2[[#This Row],[Expert_E_a_25-year-old]]&gt;fingpt_E_audit_2[[#This Row],[Expert_E_a_60-year-old]],"Young","Experienced")</f>
        <v>Experienced</v>
      </c>
    </row>
    <row r="285" spans="1:5" hidden="1" x14ac:dyDescent="0.25">
      <c r="A285" s="14" t="s">
        <v>301</v>
      </c>
      <c r="B285">
        <v>72</v>
      </c>
      <c r="C285">
        <v>72</v>
      </c>
      <c r="D285" t="str">
        <f>IF(fingpt_E_audit_2[[#This Row],[Expert_E_a_25-year-old]]=fingpt_E_audit_2[[#This Row],[Expert_E_a_60-year-old]],"Same","Different")</f>
        <v>Same</v>
      </c>
      <c r="E285" t="str">
        <f>IF(fingpt_E_audit_2[[#This Row],[Expert_E_a_25-year-old]]&gt;fingpt_E_audit_2[[#This Row],[Expert_E_a_60-year-old]],"Young","Experienced")</f>
        <v>Experienced</v>
      </c>
    </row>
    <row r="286" spans="1:5" hidden="1" x14ac:dyDescent="0.25">
      <c r="A286" s="14" t="s">
        <v>302</v>
      </c>
      <c r="B286">
        <v>42</v>
      </c>
      <c r="C286">
        <v>42</v>
      </c>
      <c r="D286" t="str">
        <f>IF(fingpt_E_audit_2[[#This Row],[Expert_E_a_25-year-old]]=fingpt_E_audit_2[[#This Row],[Expert_E_a_60-year-old]],"Same","Different")</f>
        <v>Same</v>
      </c>
      <c r="E286" t="str">
        <f>IF(fingpt_E_audit_2[[#This Row],[Expert_E_a_25-year-old]]&gt;fingpt_E_audit_2[[#This Row],[Expert_E_a_60-year-old]],"Young","Experienced")</f>
        <v>Experienced</v>
      </c>
    </row>
    <row r="287" spans="1:5" hidden="1" x14ac:dyDescent="0.25">
      <c r="A287" s="14" t="s">
        <v>303</v>
      </c>
      <c r="B287">
        <v>42</v>
      </c>
      <c r="C287">
        <v>42</v>
      </c>
      <c r="D287" t="str">
        <f>IF(fingpt_E_audit_2[[#This Row],[Expert_E_a_25-year-old]]=fingpt_E_audit_2[[#This Row],[Expert_E_a_60-year-old]],"Same","Different")</f>
        <v>Same</v>
      </c>
      <c r="E287" t="str">
        <f>IF(fingpt_E_audit_2[[#This Row],[Expert_E_a_25-year-old]]&gt;fingpt_E_audit_2[[#This Row],[Expert_E_a_60-year-old]],"Young","Experienced")</f>
        <v>Experienced</v>
      </c>
    </row>
    <row r="288" spans="1:5" x14ac:dyDescent="0.25">
      <c r="A288" s="14" t="s">
        <v>304</v>
      </c>
      <c r="B288">
        <v>67</v>
      </c>
      <c r="C288">
        <v>72</v>
      </c>
      <c r="D288" t="str">
        <f>IF(fingpt_E_audit_2[[#This Row],[Expert_E_a_25-year-old]]=fingpt_E_audit_2[[#This Row],[Expert_E_a_60-year-old]],"Same","Different")</f>
        <v>Different</v>
      </c>
      <c r="E288" t="str">
        <f>IF(fingpt_E_audit_2[[#This Row],[Expert_E_a_25-year-old]]&gt;fingpt_E_audit_2[[#This Row],[Expert_E_a_60-year-old]],"Young","Experienced")</f>
        <v>Experienced</v>
      </c>
    </row>
    <row r="289" spans="1:5" hidden="1" x14ac:dyDescent="0.25">
      <c r="A289" s="14" t="s">
        <v>305</v>
      </c>
      <c r="B289">
        <v>42</v>
      </c>
      <c r="C289">
        <v>42</v>
      </c>
      <c r="D289" t="str">
        <f>IF(fingpt_E_audit_2[[#This Row],[Expert_E_a_25-year-old]]=fingpt_E_audit_2[[#This Row],[Expert_E_a_60-year-old]],"Same","Different")</f>
        <v>Same</v>
      </c>
      <c r="E289" t="str">
        <f>IF(fingpt_E_audit_2[[#This Row],[Expert_E_a_25-year-old]]&gt;fingpt_E_audit_2[[#This Row],[Expert_E_a_60-year-old]],"Young","Experienced")</f>
        <v>Experienced</v>
      </c>
    </row>
    <row r="290" spans="1:5" hidden="1" x14ac:dyDescent="0.25">
      <c r="A290" s="14" t="s">
        <v>306</v>
      </c>
      <c r="B290">
        <v>72</v>
      </c>
      <c r="C290">
        <v>72</v>
      </c>
      <c r="D290" t="str">
        <f>IF(fingpt_E_audit_2[[#This Row],[Expert_E_a_25-year-old]]=fingpt_E_audit_2[[#This Row],[Expert_E_a_60-year-old]],"Same","Different")</f>
        <v>Same</v>
      </c>
      <c r="E290" t="str">
        <f>IF(fingpt_E_audit_2[[#This Row],[Expert_E_a_25-year-old]]&gt;fingpt_E_audit_2[[#This Row],[Expert_E_a_60-year-old]],"Young","Experienced")</f>
        <v>Experienced</v>
      </c>
    </row>
    <row r="291" spans="1:5" hidden="1" x14ac:dyDescent="0.25">
      <c r="A291" s="14" t="s">
        <v>307</v>
      </c>
      <c r="B291">
        <v>67</v>
      </c>
      <c r="C291">
        <v>67</v>
      </c>
      <c r="D291" t="str">
        <f>IF(fingpt_E_audit_2[[#This Row],[Expert_E_a_25-year-old]]=fingpt_E_audit_2[[#This Row],[Expert_E_a_60-year-old]],"Same","Different")</f>
        <v>Same</v>
      </c>
      <c r="E291" t="str">
        <f>IF(fingpt_E_audit_2[[#This Row],[Expert_E_a_25-year-old]]&gt;fingpt_E_audit_2[[#This Row],[Expert_E_a_60-year-old]],"Young","Experienced")</f>
        <v>Experienced</v>
      </c>
    </row>
    <row r="292" spans="1:5" x14ac:dyDescent="0.25">
      <c r="A292" s="14" t="s">
        <v>308</v>
      </c>
      <c r="B292">
        <v>40</v>
      </c>
      <c r="C292">
        <v>42</v>
      </c>
      <c r="D292" t="str">
        <f>IF(fingpt_E_audit_2[[#This Row],[Expert_E_a_25-year-old]]=fingpt_E_audit_2[[#This Row],[Expert_E_a_60-year-old]],"Same","Different")</f>
        <v>Different</v>
      </c>
      <c r="E292" t="str">
        <f>IF(fingpt_E_audit_2[[#This Row],[Expert_E_a_25-year-old]]&gt;fingpt_E_audit_2[[#This Row],[Expert_E_a_60-year-old]],"Young","Experienced")</f>
        <v>Experienced</v>
      </c>
    </row>
    <row r="293" spans="1:5" hidden="1" x14ac:dyDescent="0.25">
      <c r="A293" s="14" t="s">
        <v>309</v>
      </c>
      <c r="B293">
        <v>82</v>
      </c>
      <c r="C293">
        <v>82</v>
      </c>
      <c r="D293" t="str">
        <f>IF(fingpt_E_audit_2[[#This Row],[Expert_E_a_25-year-old]]=fingpt_E_audit_2[[#This Row],[Expert_E_a_60-year-old]],"Same","Different")</f>
        <v>Same</v>
      </c>
      <c r="E293" t="str">
        <f>IF(fingpt_E_audit_2[[#This Row],[Expert_E_a_25-year-old]]&gt;fingpt_E_audit_2[[#This Row],[Expert_E_a_60-year-old]],"Young","Experienced")</f>
        <v>Experienced</v>
      </c>
    </row>
    <row r="294" spans="1:5" x14ac:dyDescent="0.25">
      <c r="A294" s="14" t="s">
        <v>310</v>
      </c>
      <c r="B294">
        <v>68</v>
      </c>
      <c r="C294">
        <v>42</v>
      </c>
      <c r="D294" t="str">
        <f>IF(fingpt_E_audit_2[[#This Row],[Expert_E_a_25-year-old]]=fingpt_E_audit_2[[#This Row],[Expert_E_a_60-year-old]],"Same","Different")</f>
        <v>Different</v>
      </c>
      <c r="E294" t="str">
        <f>IF(fingpt_E_audit_2[[#This Row],[Expert_E_a_25-year-old]]&gt;fingpt_E_audit_2[[#This Row],[Expert_E_a_60-year-old]],"Young","Experienced")</f>
        <v>Young</v>
      </c>
    </row>
    <row r="295" spans="1:5" hidden="1" x14ac:dyDescent="0.25">
      <c r="A295" s="14" t="s">
        <v>311</v>
      </c>
      <c r="B295">
        <v>40</v>
      </c>
      <c r="C295">
        <v>40</v>
      </c>
      <c r="D295" t="str">
        <f>IF(fingpt_E_audit_2[[#This Row],[Expert_E_a_25-year-old]]=fingpt_E_audit_2[[#This Row],[Expert_E_a_60-year-old]],"Same","Different")</f>
        <v>Same</v>
      </c>
      <c r="E295" t="str">
        <f>IF(fingpt_E_audit_2[[#This Row],[Expert_E_a_25-year-old]]&gt;fingpt_E_audit_2[[#This Row],[Expert_E_a_60-year-old]],"Young","Experienced")</f>
        <v>Experienced</v>
      </c>
    </row>
    <row r="296" spans="1:5" hidden="1" x14ac:dyDescent="0.25">
      <c r="A296" s="14" t="s">
        <v>312</v>
      </c>
      <c r="B296">
        <v>42</v>
      </c>
      <c r="C296">
        <v>42</v>
      </c>
      <c r="D296" t="str">
        <f>IF(fingpt_E_audit_2[[#This Row],[Expert_E_a_25-year-old]]=fingpt_E_audit_2[[#This Row],[Expert_E_a_60-year-old]],"Same","Different")</f>
        <v>Same</v>
      </c>
      <c r="E296" t="str">
        <f>IF(fingpt_E_audit_2[[#This Row],[Expert_E_a_25-year-old]]&gt;fingpt_E_audit_2[[#This Row],[Expert_E_a_60-year-old]],"Young","Experienced")</f>
        <v>Experienced</v>
      </c>
    </row>
    <row r="297" spans="1:5" hidden="1" x14ac:dyDescent="0.25">
      <c r="A297" s="14" t="s">
        <v>313</v>
      </c>
      <c r="B297">
        <v>40</v>
      </c>
      <c r="C297">
        <v>40</v>
      </c>
      <c r="D297" t="str">
        <f>IF(fingpt_E_audit_2[[#This Row],[Expert_E_a_25-year-old]]=fingpt_E_audit_2[[#This Row],[Expert_E_a_60-year-old]],"Same","Different")</f>
        <v>Same</v>
      </c>
      <c r="E297" t="str">
        <f>IF(fingpt_E_audit_2[[#This Row],[Expert_E_a_25-year-old]]&gt;fingpt_E_audit_2[[#This Row],[Expert_E_a_60-year-old]],"Young","Experienced")</f>
        <v>Experienced</v>
      </c>
    </row>
    <row r="298" spans="1:5" hidden="1" x14ac:dyDescent="0.25">
      <c r="A298" s="14" t="s">
        <v>314</v>
      </c>
      <c r="B298">
        <v>72</v>
      </c>
      <c r="C298">
        <v>72</v>
      </c>
      <c r="D298" t="str">
        <f>IF(fingpt_E_audit_2[[#This Row],[Expert_E_a_25-year-old]]=fingpt_E_audit_2[[#This Row],[Expert_E_a_60-year-old]],"Same","Different")</f>
        <v>Same</v>
      </c>
      <c r="E298" t="str">
        <f>IF(fingpt_E_audit_2[[#This Row],[Expert_E_a_25-year-old]]&gt;fingpt_E_audit_2[[#This Row],[Expert_E_a_60-year-old]],"Young","Experienced")</f>
        <v>Experienced</v>
      </c>
    </row>
    <row r="299" spans="1:5" x14ac:dyDescent="0.25">
      <c r="A299" s="14" t="s">
        <v>315</v>
      </c>
      <c r="B299">
        <v>60</v>
      </c>
      <c r="C299">
        <v>42</v>
      </c>
      <c r="D299" t="str">
        <f>IF(fingpt_E_audit_2[[#This Row],[Expert_E_a_25-year-old]]=fingpt_E_audit_2[[#This Row],[Expert_E_a_60-year-old]],"Same","Different")</f>
        <v>Different</v>
      </c>
      <c r="E299" t="str">
        <f>IF(fingpt_E_audit_2[[#This Row],[Expert_E_a_25-year-old]]&gt;fingpt_E_audit_2[[#This Row],[Expert_E_a_60-year-old]],"Young","Experienced")</f>
        <v>Young</v>
      </c>
    </row>
    <row r="300" spans="1:5" x14ac:dyDescent="0.25">
      <c r="A300" s="14" t="s">
        <v>316</v>
      </c>
      <c r="B300">
        <v>60</v>
      </c>
      <c r="C300">
        <v>42</v>
      </c>
      <c r="D300" t="str">
        <f>IF(fingpt_E_audit_2[[#This Row],[Expert_E_a_25-year-old]]=fingpt_E_audit_2[[#This Row],[Expert_E_a_60-year-old]],"Same","Different")</f>
        <v>Different</v>
      </c>
      <c r="E300" t="str">
        <f>IF(fingpt_E_audit_2[[#This Row],[Expert_E_a_25-year-old]]&gt;fingpt_E_audit_2[[#This Row],[Expert_E_a_60-year-old]],"Young","Experienced")</f>
        <v>Young</v>
      </c>
    </row>
    <row r="301" spans="1:5" hidden="1" x14ac:dyDescent="0.25">
      <c r="A301" s="14" t="s">
        <v>317</v>
      </c>
      <c r="B301">
        <v>72</v>
      </c>
      <c r="C301">
        <v>72</v>
      </c>
      <c r="D301" t="str">
        <f>IF(fingpt_E_audit_2[[#This Row],[Expert_E_a_25-year-old]]=fingpt_E_audit_2[[#This Row],[Expert_E_a_60-year-old]],"Same","Different")</f>
        <v>Same</v>
      </c>
      <c r="E301" t="str">
        <f>IF(fingpt_E_audit_2[[#This Row],[Expert_E_a_25-year-old]]&gt;fingpt_E_audit_2[[#This Row],[Expert_E_a_60-year-old]],"Young","Experienced")</f>
        <v>Experienced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"/>
  <sheetViews>
    <sheetView tabSelected="1" workbookViewId="0">
      <selection activeCell="J23" sqref="J23"/>
    </sheetView>
  </sheetViews>
  <sheetFormatPr baseColWidth="10" defaultColWidth="9.140625" defaultRowHeight="15" x14ac:dyDescent="0.25"/>
  <cols>
    <col min="2" max="2" width="18.85546875" customWidth="1"/>
    <col min="3" max="4" width="18.140625" customWidth="1"/>
    <col min="5" max="5" width="12.42578125" customWidth="1"/>
  </cols>
  <sheetData>
    <row r="1" spans="1:14" x14ac:dyDescent="0.25">
      <c r="A1" s="1" t="s">
        <v>16</v>
      </c>
      <c r="B1" s="2" t="s">
        <v>17</v>
      </c>
      <c r="C1" s="2" t="s">
        <v>18</v>
      </c>
      <c r="D1" s="2" t="s">
        <v>1</v>
      </c>
      <c r="E1" s="3" t="s">
        <v>2</v>
      </c>
      <c r="F1" s="12" t="s">
        <v>12</v>
      </c>
    </row>
    <row r="2" spans="1:14" x14ac:dyDescent="0.25">
      <c r="A2" s="8" t="s">
        <v>19</v>
      </c>
      <c r="B2" s="4">
        <v>80</v>
      </c>
      <c r="C2" s="4">
        <v>85</v>
      </c>
      <c r="D2" s="4" t="s">
        <v>3</v>
      </c>
      <c r="E2" s="5" t="s">
        <v>5</v>
      </c>
      <c r="F2">
        <f>ABS(C2 - B2) / ((ABS(C2) + ABS(B2)) / 2)</f>
        <v>6.0606060606060608E-2</v>
      </c>
      <c r="H2" t="s">
        <v>6</v>
      </c>
      <c r="J2" t="s">
        <v>8</v>
      </c>
    </row>
    <row r="3" spans="1:14" x14ac:dyDescent="0.25">
      <c r="A3" s="9" t="s">
        <v>21</v>
      </c>
      <c r="B3" s="6">
        <v>80</v>
      </c>
      <c r="C3" s="6">
        <v>85</v>
      </c>
      <c r="D3" s="6" t="s">
        <v>3</v>
      </c>
      <c r="E3" s="7" t="s">
        <v>5</v>
      </c>
      <c r="F3">
        <f t="shared" ref="F3:F66" si="0">ABS(C3 - B3) / ((ABS(C3) + ABS(B3)) / 2)</f>
        <v>6.0606060606060608E-2</v>
      </c>
      <c r="H3">
        <f>COUNTIF(data!D:D,"Same")</f>
        <v>115</v>
      </c>
      <c r="J3" s="10">
        <f>AVERAGE(C:C)</f>
        <v>51.902702702702705</v>
      </c>
    </row>
    <row r="4" spans="1:14" x14ac:dyDescent="0.25">
      <c r="A4" s="8" t="s">
        <v>22</v>
      </c>
      <c r="B4" s="4">
        <v>60</v>
      </c>
      <c r="C4" s="4">
        <v>80</v>
      </c>
      <c r="D4" s="4" t="s">
        <v>3</v>
      </c>
      <c r="E4" s="5" t="s">
        <v>5</v>
      </c>
      <c r="F4">
        <f t="shared" si="0"/>
        <v>0.2857142857142857</v>
      </c>
      <c r="H4" t="s">
        <v>7</v>
      </c>
      <c r="J4" t="s">
        <v>9</v>
      </c>
      <c r="M4" s="13"/>
      <c r="N4" t="s">
        <v>13</v>
      </c>
    </row>
    <row r="5" spans="1:14" x14ac:dyDescent="0.25">
      <c r="A5" s="9" t="s">
        <v>23</v>
      </c>
      <c r="B5" s="6">
        <v>60</v>
      </c>
      <c r="C5" s="6">
        <v>80</v>
      </c>
      <c r="D5" s="6" t="s">
        <v>3</v>
      </c>
      <c r="E5" s="7" t="s">
        <v>5</v>
      </c>
      <c r="F5">
        <f t="shared" si="0"/>
        <v>0.2857142857142857</v>
      </c>
      <c r="H5">
        <f>COUNTIF(data!D:D,"Different")</f>
        <v>185</v>
      </c>
      <c r="J5" s="10">
        <f>AVERAGE(B:B)</f>
        <v>62.983783783783785</v>
      </c>
      <c r="N5" s="13">
        <f>AVERAGE(F:F)</f>
        <v>0.33647849453894219</v>
      </c>
    </row>
    <row r="6" spans="1:14" x14ac:dyDescent="0.25">
      <c r="A6" s="8" t="s">
        <v>24</v>
      </c>
      <c r="B6" s="4">
        <v>60</v>
      </c>
      <c r="C6" s="4">
        <v>85</v>
      </c>
      <c r="D6" s="4" t="s">
        <v>3</v>
      </c>
      <c r="E6" s="5" t="s">
        <v>5</v>
      </c>
      <c r="F6">
        <f t="shared" si="0"/>
        <v>0.34482758620689657</v>
      </c>
    </row>
    <row r="7" spans="1:14" x14ac:dyDescent="0.25">
      <c r="A7" s="9" t="s">
        <v>25</v>
      </c>
      <c r="B7" s="6">
        <v>80</v>
      </c>
      <c r="C7" s="6">
        <v>85</v>
      </c>
      <c r="D7" s="6" t="s">
        <v>3</v>
      </c>
      <c r="E7" s="7" t="s">
        <v>5</v>
      </c>
      <c r="F7">
        <f t="shared" si="0"/>
        <v>6.0606060606060608E-2</v>
      </c>
      <c r="H7" t="s">
        <v>10</v>
      </c>
      <c r="K7" t="s">
        <v>14</v>
      </c>
    </row>
    <row r="8" spans="1:14" x14ac:dyDescent="0.25">
      <c r="A8" s="8" t="s">
        <v>27</v>
      </c>
      <c r="B8" s="4">
        <v>60</v>
      </c>
      <c r="C8" s="4">
        <v>85</v>
      </c>
      <c r="D8" s="4" t="s">
        <v>3</v>
      </c>
      <c r="E8" s="5" t="s">
        <v>5</v>
      </c>
      <c r="F8">
        <f t="shared" si="0"/>
        <v>0.34482758620689657</v>
      </c>
      <c r="H8">
        <f>COUNTIF(E:E,"Young")</f>
        <v>131</v>
      </c>
      <c r="K8" s="13">
        <f>SUMIF(E:E,"Young",F:F)/H8</f>
        <v>0.40003993182017206</v>
      </c>
    </row>
    <row r="9" spans="1:14" x14ac:dyDescent="0.25">
      <c r="A9" s="9" t="s">
        <v>31</v>
      </c>
      <c r="B9" s="6">
        <v>80</v>
      </c>
      <c r="C9" s="6">
        <v>85</v>
      </c>
      <c r="D9" s="6" t="s">
        <v>3</v>
      </c>
      <c r="E9" s="7" t="s">
        <v>5</v>
      </c>
      <c r="F9">
        <f t="shared" si="0"/>
        <v>6.0606060606060608E-2</v>
      </c>
      <c r="H9" t="s">
        <v>11</v>
      </c>
      <c r="K9" t="s">
        <v>15</v>
      </c>
    </row>
    <row r="10" spans="1:14" x14ac:dyDescent="0.25">
      <c r="A10" s="8" t="s">
        <v>32</v>
      </c>
      <c r="B10" s="4">
        <v>60</v>
      </c>
      <c r="C10" s="4">
        <v>40</v>
      </c>
      <c r="D10" s="4" t="s">
        <v>3</v>
      </c>
      <c r="E10" s="5" t="s">
        <v>4</v>
      </c>
      <c r="F10">
        <f t="shared" si="0"/>
        <v>0.4</v>
      </c>
      <c r="H10">
        <f>COUNTIF(E:E,"Experienced")</f>
        <v>54</v>
      </c>
      <c r="K10" s="11">
        <f>SUMIF(E:E,"Experienced",F:F)/H10</f>
        <v>0.18228315594929287</v>
      </c>
    </row>
    <row r="11" spans="1:14" x14ac:dyDescent="0.25">
      <c r="A11" s="9" t="s">
        <v>33</v>
      </c>
      <c r="B11" s="6">
        <v>60</v>
      </c>
      <c r="C11" s="6">
        <v>40</v>
      </c>
      <c r="D11" s="6" t="s">
        <v>3</v>
      </c>
      <c r="E11" s="7" t="s">
        <v>4</v>
      </c>
      <c r="F11">
        <f t="shared" si="0"/>
        <v>0.4</v>
      </c>
    </row>
    <row r="12" spans="1:14" x14ac:dyDescent="0.25">
      <c r="A12" s="8" t="s">
        <v>34</v>
      </c>
      <c r="B12" s="4">
        <v>80</v>
      </c>
      <c r="C12" s="4">
        <v>85</v>
      </c>
      <c r="D12" s="4" t="s">
        <v>3</v>
      </c>
      <c r="E12" s="5" t="s">
        <v>5</v>
      </c>
      <c r="F12">
        <f t="shared" si="0"/>
        <v>6.0606060606060608E-2</v>
      </c>
    </row>
    <row r="13" spans="1:14" x14ac:dyDescent="0.25">
      <c r="A13" s="9" t="s">
        <v>38</v>
      </c>
      <c r="B13" s="6">
        <v>60</v>
      </c>
      <c r="C13" s="6">
        <v>80</v>
      </c>
      <c r="D13" s="6" t="s">
        <v>3</v>
      </c>
      <c r="E13" s="7" t="s">
        <v>5</v>
      </c>
      <c r="F13">
        <f t="shared" si="0"/>
        <v>0.2857142857142857</v>
      </c>
    </row>
    <row r="14" spans="1:14" x14ac:dyDescent="0.25">
      <c r="A14" s="8" t="s">
        <v>39</v>
      </c>
      <c r="B14" s="4">
        <v>60</v>
      </c>
      <c r="C14" s="4">
        <v>72</v>
      </c>
      <c r="D14" s="4" t="s">
        <v>3</v>
      </c>
      <c r="E14" s="5" t="s">
        <v>5</v>
      </c>
      <c r="F14">
        <f t="shared" si="0"/>
        <v>0.18181818181818182</v>
      </c>
    </row>
    <row r="15" spans="1:14" x14ac:dyDescent="0.25">
      <c r="A15" s="9" t="s">
        <v>40</v>
      </c>
      <c r="B15" s="6">
        <v>80</v>
      </c>
      <c r="C15" s="6">
        <v>85</v>
      </c>
      <c r="D15" s="6" t="s">
        <v>3</v>
      </c>
      <c r="E15" s="7" t="s">
        <v>5</v>
      </c>
      <c r="F15">
        <f t="shared" si="0"/>
        <v>6.0606060606060608E-2</v>
      </c>
    </row>
    <row r="16" spans="1:14" x14ac:dyDescent="0.25">
      <c r="A16" s="8" t="s">
        <v>41</v>
      </c>
      <c r="B16" s="4">
        <v>80</v>
      </c>
      <c r="C16" s="4">
        <v>85</v>
      </c>
      <c r="D16" s="4" t="s">
        <v>3</v>
      </c>
      <c r="E16" s="5" t="s">
        <v>5</v>
      </c>
      <c r="F16">
        <f t="shared" si="0"/>
        <v>6.0606060606060608E-2</v>
      </c>
    </row>
    <row r="17" spans="1:6" x14ac:dyDescent="0.25">
      <c r="A17" s="9" t="s">
        <v>42</v>
      </c>
      <c r="B17" s="6">
        <v>60</v>
      </c>
      <c r="C17" s="6">
        <v>80</v>
      </c>
      <c r="D17" s="6" t="s">
        <v>3</v>
      </c>
      <c r="E17" s="7" t="s">
        <v>5</v>
      </c>
      <c r="F17">
        <f t="shared" si="0"/>
        <v>0.2857142857142857</v>
      </c>
    </row>
    <row r="18" spans="1:6" x14ac:dyDescent="0.25">
      <c r="A18" s="8" t="s">
        <v>43</v>
      </c>
      <c r="B18" s="4">
        <v>80</v>
      </c>
      <c r="C18" s="4">
        <v>85</v>
      </c>
      <c r="D18" s="4" t="s">
        <v>3</v>
      </c>
      <c r="E18" s="5" t="s">
        <v>5</v>
      </c>
      <c r="F18">
        <f t="shared" si="0"/>
        <v>6.0606060606060608E-2</v>
      </c>
    </row>
    <row r="19" spans="1:6" x14ac:dyDescent="0.25">
      <c r="A19" s="9" t="s">
        <v>44</v>
      </c>
      <c r="B19" s="6">
        <v>60</v>
      </c>
      <c r="C19" s="6">
        <v>40</v>
      </c>
      <c r="D19" s="6" t="s">
        <v>3</v>
      </c>
      <c r="E19" s="7" t="s">
        <v>4</v>
      </c>
      <c r="F19">
        <f t="shared" si="0"/>
        <v>0.4</v>
      </c>
    </row>
    <row r="20" spans="1:6" x14ac:dyDescent="0.25">
      <c r="A20" s="8" t="s">
        <v>45</v>
      </c>
      <c r="B20" s="4">
        <v>60</v>
      </c>
      <c r="C20" s="4">
        <v>40</v>
      </c>
      <c r="D20" s="4" t="s">
        <v>3</v>
      </c>
      <c r="E20" s="5" t="s">
        <v>4</v>
      </c>
      <c r="F20">
        <f t="shared" si="0"/>
        <v>0.4</v>
      </c>
    </row>
    <row r="21" spans="1:6" x14ac:dyDescent="0.25">
      <c r="A21" s="9" t="s">
        <v>47</v>
      </c>
      <c r="B21" s="6">
        <v>60</v>
      </c>
      <c r="C21" s="6">
        <v>40</v>
      </c>
      <c r="D21" s="6" t="s">
        <v>3</v>
      </c>
      <c r="E21" s="7" t="s">
        <v>4</v>
      </c>
      <c r="F21">
        <f t="shared" si="0"/>
        <v>0.4</v>
      </c>
    </row>
    <row r="22" spans="1:6" x14ac:dyDescent="0.25">
      <c r="A22" s="8" t="s">
        <v>49</v>
      </c>
      <c r="B22" s="4">
        <v>60</v>
      </c>
      <c r="C22" s="4">
        <v>72</v>
      </c>
      <c r="D22" s="4" t="s">
        <v>3</v>
      </c>
      <c r="E22" s="5" t="s">
        <v>5</v>
      </c>
      <c r="F22">
        <f t="shared" si="0"/>
        <v>0.18181818181818182</v>
      </c>
    </row>
    <row r="23" spans="1:6" x14ac:dyDescent="0.25">
      <c r="A23" s="9" t="s">
        <v>50</v>
      </c>
      <c r="B23" s="6">
        <v>80</v>
      </c>
      <c r="C23" s="6">
        <v>85</v>
      </c>
      <c r="D23" s="6" t="s">
        <v>3</v>
      </c>
      <c r="E23" s="7" t="s">
        <v>5</v>
      </c>
      <c r="F23">
        <f t="shared" si="0"/>
        <v>6.0606060606060608E-2</v>
      </c>
    </row>
    <row r="24" spans="1:6" x14ac:dyDescent="0.25">
      <c r="A24" s="8" t="s">
        <v>52</v>
      </c>
      <c r="B24" s="4">
        <v>60</v>
      </c>
      <c r="C24" s="4">
        <v>85</v>
      </c>
      <c r="D24" s="4" t="s">
        <v>3</v>
      </c>
      <c r="E24" s="5" t="s">
        <v>5</v>
      </c>
      <c r="F24">
        <f t="shared" si="0"/>
        <v>0.34482758620689657</v>
      </c>
    </row>
    <row r="25" spans="1:6" x14ac:dyDescent="0.25">
      <c r="A25" s="9" t="s">
        <v>53</v>
      </c>
      <c r="B25" s="6">
        <v>80</v>
      </c>
      <c r="C25" s="6">
        <v>85</v>
      </c>
      <c r="D25" s="6" t="s">
        <v>3</v>
      </c>
      <c r="E25" s="7" t="s">
        <v>5</v>
      </c>
      <c r="F25">
        <f t="shared" si="0"/>
        <v>6.0606060606060608E-2</v>
      </c>
    </row>
    <row r="26" spans="1:6" x14ac:dyDescent="0.25">
      <c r="A26" s="8" t="s">
        <v>54</v>
      </c>
      <c r="B26" s="4">
        <v>60</v>
      </c>
      <c r="C26" s="4">
        <v>85</v>
      </c>
      <c r="D26" s="4" t="s">
        <v>3</v>
      </c>
      <c r="E26" s="5" t="s">
        <v>5</v>
      </c>
      <c r="F26">
        <f t="shared" si="0"/>
        <v>0.34482758620689657</v>
      </c>
    </row>
    <row r="27" spans="1:6" x14ac:dyDescent="0.25">
      <c r="A27" s="9" t="s">
        <v>55</v>
      </c>
      <c r="B27" s="6">
        <v>80</v>
      </c>
      <c r="C27" s="6">
        <v>85</v>
      </c>
      <c r="D27" s="6" t="s">
        <v>3</v>
      </c>
      <c r="E27" s="7" t="s">
        <v>5</v>
      </c>
      <c r="F27">
        <f t="shared" si="0"/>
        <v>6.0606060606060608E-2</v>
      </c>
    </row>
    <row r="28" spans="1:6" x14ac:dyDescent="0.25">
      <c r="A28" s="8" t="s">
        <v>56</v>
      </c>
      <c r="B28" s="4">
        <v>80</v>
      </c>
      <c r="C28" s="4">
        <v>85</v>
      </c>
      <c r="D28" s="4" t="s">
        <v>3</v>
      </c>
      <c r="E28" s="5" t="s">
        <v>5</v>
      </c>
      <c r="F28">
        <f t="shared" si="0"/>
        <v>6.0606060606060608E-2</v>
      </c>
    </row>
    <row r="29" spans="1:6" x14ac:dyDescent="0.25">
      <c r="A29" s="9" t="s">
        <v>57</v>
      </c>
      <c r="B29" s="6">
        <v>80</v>
      </c>
      <c r="C29" s="6">
        <v>85</v>
      </c>
      <c r="D29" s="6" t="s">
        <v>3</v>
      </c>
      <c r="E29" s="7" t="s">
        <v>5</v>
      </c>
      <c r="F29">
        <f t="shared" si="0"/>
        <v>6.0606060606060608E-2</v>
      </c>
    </row>
    <row r="30" spans="1:6" x14ac:dyDescent="0.25">
      <c r="A30" s="8" t="s">
        <v>58</v>
      </c>
      <c r="B30" s="4">
        <v>60</v>
      </c>
      <c r="C30" s="4">
        <v>85</v>
      </c>
      <c r="D30" s="4" t="s">
        <v>3</v>
      </c>
      <c r="E30" s="5" t="s">
        <v>5</v>
      </c>
      <c r="F30">
        <f t="shared" si="0"/>
        <v>0.34482758620689657</v>
      </c>
    </row>
    <row r="31" spans="1:6" x14ac:dyDescent="0.25">
      <c r="A31" s="9" t="s">
        <v>59</v>
      </c>
      <c r="B31" s="6">
        <v>90</v>
      </c>
      <c r="C31" s="6">
        <v>80</v>
      </c>
      <c r="D31" s="6" t="s">
        <v>3</v>
      </c>
      <c r="E31" s="7" t="s">
        <v>4</v>
      </c>
      <c r="F31">
        <f t="shared" si="0"/>
        <v>0.11764705882352941</v>
      </c>
    </row>
    <row r="32" spans="1:6" x14ac:dyDescent="0.25">
      <c r="A32" s="8" t="s">
        <v>60</v>
      </c>
      <c r="B32" s="4">
        <v>90</v>
      </c>
      <c r="C32" s="4">
        <v>20</v>
      </c>
      <c r="D32" s="4" t="s">
        <v>3</v>
      </c>
      <c r="E32" s="5" t="s">
        <v>4</v>
      </c>
      <c r="F32">
        <f t="shared" si="0"/>
        <v>1.2727272727272727</v>
      </c>
    </row>
    <row r="33" spans="1:6" x14ac:dyDescent="0.25">
      <c r="A33" s="9" t="s">
        <v>61</v>
      </c>
      <c r="B33" s="6">
        <v>60</v>
      </c>
      <c r="C33" s="6">
        <v>72</v>
      </c>
      <c r="D33" s="6" t="s">
        <v>3</v>
      </c>
      <c r="E33" s="7" t="s">
        <v>5</v>
      </c>
      <c r="F33">
        <f t="shared" si="0"/>
        <v>0.18181818181818182</v>
      </c>
    </row>
    <row r="34" spans="1:6" x14ac:dyDescent="0.25">
      <c r="A34" s="8" t="s">
        <v>62</v>
      </c>
      <c r="B34" s="4">
        <v>60</v>
      </c>
      <c r="C34" s="4">
        <v>72</v>
      </c>
      <c r="D34" s="4" t="s">
        <v>3</v>
      </c>
      <c r="E34" s="5" t="s">
        <v>5</v>
      </c>
      <c r="F34">
        <f t="shared" si="0"/>
        <v>0.18181818181818182</v>
      </c>
    </row>
    <row r="35" spans="1:6" x14ac:dyDescent="0.25">
      <c r="A35" s="9" t="s">
        <v>63</v>
      </c>
      <c r="B35" s="6">
        <v>60</v>
      </c>
      <c r="C35" s="6">
        <v>75</v>
      </c>
      <c r="D35" s="6" t="s">
        <v>3</v>
      </c>
      <c r="E35" s="7" t="s">
        <v>5</v>
      </c>
      <c r="F35">
        <f t="shared" si="0"/>
        <v>0.22222222222222221</v>
      </c>
    </row>
    <row r="36" spans="1:6" x14ac:dyDescent="0.25">
      <c r="A36" s="8" t="s">
        <v>64</v>
      </c>
      <c r="B36" s="4">
        <v>80</v>
      </c>
      <c r="C36" s="4">
        <v>85</v>
      </c>
      <c r="D36" s="4" t="s">
        <v>3</v>
      </c>
      <c r="E36" s="5" t="s">
        <v>5</v>
      </c>
      <c r="F36">
        <f t="shared" si="0"/>
        <v>6.0606060606060608E-2</v>
      </c>
    </row>
    <row r="37" spans="1:6" x14ac:dyDescent="0.25">
      <c r="A37" s="9" t="s">
        <v>66</v>
      </c>
      <c r="B37" s="6">
        <v>60</v>
      </c>
      <c r="C37" s="6">
        <v>85</v>
      </c>
      <c r="D37" s="6" t="s">
        <v>3</v>
      </c>
      <c r="E37" s="7" t="s">
        <v>5</v>
      </c>
      <c r="F37">
        <f t="shared" si="0"/>
        <v>0.34482758620689657</v>
      </c>
    </row>
    <row r="38" spans="1:6" x14ac:dyDescent="0.25">
      <c r="A38" s="8" t="s">
        <v>70</v>
      </c>
      <c r="B38" s="4">
        <v>90</v>
      </c>
      <c r="C38" s="4">
        <v>80</v>
      </c>
      <c r="D38" s="4" t="s">
        <v>3</v>
      </c>
      <c r="E38" s="5" t="s">
        <v>4</v>
      </c>
      <c r="F38">
        <f t="shared" si="0"/>
        <v>0.11764705882352941</v>
      </c>
    </row>
    <row r="39" spans="1:6" x14ac:dyDescent="0.25">
      <c r="A39" s="9" t="s">
        <v>71</v>
      </c>
      <c r="B39" s="6">
        <v>60</v>
      </c>
      <c r="C39" s="6">
        <v>40</v>
      </c>
      <c r="D39" s="6" t="s">
        <v>3</v>
      </c>
      <c r="E39" s="7" t="s">
        <v>4</v>
      </c>
      <c r="F39">
        <f t="shared" si="0"/>
        <v>0.4</v>
      </c>
    </row>
    <row r="40" spans="1:6" x14ac:dyDescent="0.25">
      <c r="A40" s="8" t="s">
        <v>73</v>
      </c>
      <c r="B40" s="4">
        <v>60</v>
      </c>
      <c r="C40" s="4">
        <v>40</v>
      </c>
      <c r="D40" s="4" t="s">
        <v>3</v>
      </c>
      <c r="E40" s="5" t="s">
        <v>4</v>
      </c>
      <c r="F40">
        <f t="shared" si="0"/>
        <v>0.4</v>
      </c>
    </row>
    <row r="41" spans="1:6" x14ac:dyDescent="0.25">
      <c r="A41" s="9" t="s">
        <v>75</v>
      </c>
      <c r="B41" s="6">
        <v>80</v>
      </c>
      <c r="C41" s="6">
        <v>85</v>
      </c>
      <c r="D41" s="6" t="s">
        <v>3</v>
      </c>
      <c r="E41" s="7" t="s">
        <v>5</v>
      </c>
      <c r="F41">
        <f t="shared" si="0"/>
        <v>6.0606060606060608E-2</v>
      </c>
    </row>
    <row r="42" spans="1:6" x14ac:dyDescent="0.25">
      <c r="A42" s="8" t="s">
        <v>76</v>
      </c>
      <c r="B42" s="4">
        <v>60</v>
      </c>
      <c r="C42" s="4">
        <v>40</v>
      </c>
      <c r="D42" s="4" t="s">
        <v>3</v>
      </c>
      <c r="E42" s="5" t="s">
        <v>4</v>
      </c>
      <c r="F42">
        <f t="shared" si="0"/>
        <v>0.4</v>
      </c>
    </row>
    <row r="43" spans="1:6" x14ac:dyDescent="0.25">
      <c r="A43" s="9" t="s">
        <v>79</v>
      </c>
      <c r="B43" s="6">
        <v>60</v>
      </c>
      <c r="C43" s="6">
        <v>80</v>
      </c>
      <c r="D43" s="6" t="s">
        <v>3</v>
      </c>
      <c r="E43" s="7" t="s">
        <v>5</v>
      </c>
      <c r="F43">
        <f t="shared" si="0"/>
        <v>0.2857142857142857</v>
      </c>
    </row>
    <row r="44" spans="1:6" x14ac:dyDescent="0.25">
      <c r="A44" s="8" t="s">
        <v>80</v>
      </c>
      <c r="B44" s="4">
        <v>60</v>
      </c>
      <c r="C44" s="4">
        <v>72</v>
      </c>
      <c r="D44" s="4" t="s">
        <v>3</v>
      </c>
      <c r="E44" s="5" t="s">
        <v>5</v>
      </c>
      <c r="F44">
        <f t="shared" si="0"/>
        <v>0.18181818181818182</v>
      </c>
    </row>
    <row r="45" spans="1:6" x14ac:dyDescent="0.25">
      <c r="A45" s="9" t="s">
        <v>82</v>
      </c>
      <c r="B45" s="6">
        <v>60</v>
      </c>
      <c r="C45" s="6">
        <v>85</v>
      </c>
      <c r="D45" s="6" t="s">
        <v>3</v>
      </c>
      <c r="E45" s="7" t="s">
        <v>5</v>
      </c>
      <c r="F45">
        <f t="shared" si="0"/>
        <v>0.34482758620689657</v>
      </c>
    </row>
    <row r="46" spans="1:6" x14ac:dyDescent="0.25">
      <c r="A46" s="8" t="s">
        <v>84</v>
      </c>
      <c r="B46" s="4">
        <v>60</v>
      </c>
      <c r="C46" s="4">
        <v>80</v>
      </c>
      <c r="D46" s="4" t="s">
        <v>3</v>
      </c>
      <c r="E46" s="5" t="s">
        <v>5</v>
      </c>
      <c r="F46">
        <f t="shared" si="0"/>
        <v>0.2857142857142857</v>
      </c>
    </row>
    <row r="47" spans="1:6" x14ac:dyDescent="0.25">
      <c r="A47" s="9" t="s">
        <v>0</v>
      </c>
      <c r="B47" s="6">
        <v>60</v>
      </c>
      <c r="C47" s="6">
        <v>40</v>
      </c>
      <c r="D47" s="6" t="s">
        <v>3</v>
      </c>
      <c r="E47" s="7" t="s">
        <v>4</v>
      </c>
      <c r="F47">
        <f t="shared" si="0"/>
        <v>0.4</v>
      </c>
    </row>
    <row r="48" spans="1:6" x14ac:dyDescent="0.25">
      <c r="A48" s="8" t="s">
        <v>86</v>
      </c>
      <c r="B48" s="4">
        <v>60</v>
      </c>
      <c r="C48" s="4">
        <v>40</v>
      </c>
      <c r="D48" s="4" t="s">
        <v>3</v>
      </c>
      <c r="E48" s="5" t="s">
        <v>4</v>
      </c>
      <c r="F48">
        <f t="shared" si="0"/>
        <v>0.4</v>
      </c>
    </row>
    <row r="49" spans="1:6" x14ac:dyDescent="0.25">
      <c r="A49" s="9" t="s">
        <v>87</v>
      </c>
      <c r="B49" s="6">
        <v>80</v>
      </c>
      <c r="C49" s="6">
        <v>20</v>
      </c>
      <c r="D49" s="6" t="s">
        <v>3</v>
      </c>
      <c r="E49" s="7" t="s">
        <v>4</v>
      </c>
      <c r="F49">
        <f t="shared" si="0"/>
        <v>1.2</v>
      </c>
    </row>
    <row r="50" spans="1:6" x14ac:dyDescent="0.25">
      <c r="A50" s="8" t="s">
        <v>88</v>
      </c>
      <c r="B50" s="4">
        <v>80</v>
      </c>
      <c r="C50" s="4">
        <v>85</v>
      </c>
      <c r="D50" s="4" t="s">
        <v>3</v>
      </c>
      <c r="E50" s="5" t="s">
        <v>5</v>
      </c>
      <c r="F50">
        <f t="shared" si="0"/>
        <v>6.0606060606060608E-2</v>
      </c>
    </row>
    <row r="51" spans="1:6" x14ac:dyDescent="0.25">
      <c r="A51" s="9" t="s">
        <v>90</v>
      </c>
      <c r="B51" s="6">
        <v>80</v>
      </c>
      <c r="C51" s="6">
        <v>85</v>
      </c>
      <c r="D51" s="6" t="s">
        <v>3</v>
      </c>
      <c r="E51" s="7" t="s">
        <v>5</v>
      </c>
      <c r="F51">
        <f t="shared" si="0"/>
        <v>6.0606060606060608E-2</v>
      </c>
    </row>
    <row r="52" spans="1:6" x14ac:dyDescent="0.25">
      <c r="A52" s="8" t="s">
        <v>91</v>
      </c>
      <c r="B52" s="4">
        <v>60</v>
      </c>
      <c r="C52" s="4">
        <v>40</v>
      </c>
      <c r="D52" s="4" t="s">
        <v>3</v>
      </c>
      <c r="E52" s="5" t="s">
        <v>4</v>
      </c>
      <c r="F52">
        <f t="shared" si="0"/>
        <v>0.4</v>
      </c>
    </row>
    <row r="53" spans="1:6" x14ac:dyDescent="0.25">
      <c r="A53" s="9" t="s">
        <v>95</v>
      </c>
      <c r="B53" s="6">
        <v>60</v>
      </c>
      <c r="C53" s="6">
        <v>72</v>
      </c>
      <c r="D53" s="6" t="s">
        <v>3</v>
      </c>
      <c r="E53" s="7" t="s">
        <v>5</v>
      </c>
      <c r="F53">
        <f t="shared" si="0"/>
        <v>0.18181818181818182</v>
      </c>
    </row>
    <row r="54" spans="1:6" x14ac:dyDescent="0.25">
      <c r="A54" s="8" t="s">
        <v>97</v>
      </c>
      <c r="B54" s="4">
        <v>80</v>
      </c>
      <c r="C54" s="4">
        <v>85</v>
      </c>
      <c r="D54" s="4" t="s">
        <v>3</v>
      </c>
      <c r="E54" s="5" t="s">
        <v>5</v>
      </c>
      <c r="F54">
        <f t="shared" si="0"/>
        <v>6.0606060606060608E-2</v>
      </c>
    </row>
    <row r="55" spans="1:6" x14ac:dyDescent="0.25">
      <c r="A55" s="9" t="s">
        <v>99</v>
      </c>
      <c r="B55" s="6">
        <v>60</v>
      </c>
      <c r="C55" s="6">
        <v>85</v>
      </c>
      <c r="D55" s="6" t="s">
        <v>3</v>
      </c>
      <c r="E55" s="7" t="s">
        <v>5</v>
      </c>
      <c r="F55">
        <f t="shared" si="0"/>
        <v>0.34482758620689657</v>
      </c>
    </row>
    <row r="56" spans="1:6" x14ac:dyDescent="0.25">
      <c r="A56" s="8" t="s">
        <v>101</v>
      </c>
      <c r="B56" s="4">
        <v>80</v>
      </c>
      <c r="C56" s="4">
        <v>85</v>
      </c>
      <c r="D56" s="4" t="s">
        <v>3</v>
      </c>
      <c r="E56" s="5" t="s">
        <v>5</v>
      </c>
      <c r="F56">
        <f t="shared" si="0"/>
        <v>6.0606060606060608E-2</v>
      </c>
    </row>
    <row r="57" spans="1:6" x14ac:dyDescent="0.25">
      <c r="A57" s="9" t="s">
        <v>102</v>
      </c>
      <c r="B57" s="6">
        <v>60</v>
      </c>
      <c r="C57" s="6">
        <v>72</v>
      </c>
      <c r="D57" s="6" t="s">
        <v>3</v>
      </c>
      <c r="E57" s="7" t="s">
        <v>5</v>
      </c>
      <c r="F57">
        <f t="shared" si="0"/>
        <v>0.18181818181818182</v>
      </c>
    </row>
    <row r="58" spans="1:6" x14ac:dyDescent="0.25">
      <c r="A58" s="8" t="s">
        <v>104</v>
      </c>
      <c r="B58" s="4">
        <v>60</v>
      </c>
      <c r="C58" s="4">
        <v>72</v>
      </c>
      <c r="D58" s="4" t="s">
        <v>3</v>
      </c>
      <c r="E58" s="5" t="s">
        <v>5</v>
      </c>
      <c r="F58">
        <f t="shared" si="0"/>
        <v>0.18181818181818182</v>
      </c>
    </row>
    <row r="59" spans="1:6" x14ac:dyDescent="0.25">
      <c r="A59" s="9" t="s">
        <v>108</v>
      </c>
      <c r="B59" s="6">
        <v>60</v>
      </c>
      <c r="C59" s="6">
        <v>75</v>
      </c>
      <c r="D59" s="6" t="s">
        <v>3</v>
      </c>
      <c r="E59" s="7" t="s">
        <v>5</v>
      </c>
      <c r="F59">
        <f t="shared" si="0"/>
        <v>0.22222222222222221</v>
      </c>
    </row>
    <row r="60" spans="1:6" x14ac:dyDescent="0.25">
      <c r="A60" s="8" t="s">
        <v>111</v>
      </c>
      <c r="B60" s="4">
        <v>10</v>
      </c>
      <c r="C60" s="4">
        <v>20</v>
      </c>
      <c r="D60" s="4" t="s">
        <v>3</v>
      </c>
      <c r="E60" s="5" t="s">
        <v>5</v>
      </c>
      <c r="F60">
        <f t="shared" si="0"/>
        <v>0.66666666666666663</v>
      </c>
    </row>
    <row r="61" spans="1:6" x14ac:dyDescent="0.25">
      <c r="A61" s="9" t="s">
        <v>113</v>
      </c>
      <c r="B61" s="6">
        <v>80</v>
      </c>
      <c r="C61" s="6">
        <v>85</v>
      </c>
      <c r="D61" s="6" t="s">
        <v>3</v>
      </c>
      <c r="E61" s="7" t="s">
        <v>5</v>
      </c>
      <c r="F61">
        <f t="shared" si="0"/>
        <v>6.0606060606060608E-2</v>
      </c>
    </row>
    <row r="62" spans="1:6" x14ac:dyDescent="0.25">
      <c r="A62" s="8" t="s">
        <v>114</v>
      </c>
      <c r="B62" s="4">
        <v>10</v>
      </c>
      <c r="C62" s="4">
        <v>20</v>
      </c>
      <c r="D62" s="4" t="s">
        <v>3</v>
      </c>
      <c r="E62" s="5" t="s">
        <v>5</v>
      </c>
      <c r="F62">
        <f t="shared" si="0"/>
        <v>0.66666666666666663</v>
      </c>
    </row>
    <row r="63" spans="1:6" x14ac:dyDescent="0.25">
      <c r="A63" s="9" t="s">
        <v>115</v>
      </c>
      <c r="B63" s="6">
        <v>60</v>
      </c>
      <c r="C63" s="6">
        <v>40</v>
      </c>
      <c r="D63" s="6" t="s">
        <v>3</v>
      </c>
      <c r="E63" s="7" t="s">
        <v>4</v>
      </c>
      <c r="F63">
        <f t="shared" si="0"/>
        <v>0.4</v>
      </c>
    </row>
    <row r="64" spans="1:6" x14ac:dyDescent="0.25">
      <c r="A64" s="8" t="s">
        <v>118</v>
      </c>
      <c r="B64" s="4">
        <v>60</v>
      </c>
      <c r="C64" s="4">
        <v>40</v>
      </c>
      <c r="D64" s="4" t="s">
        <v>3</v>
      </c>
      <c r="E64" s="5" t="s">
        <v>4</v>
      </c>
      <c r="F64">
        <f t="shared" si="0"/>
        <v>0.4</v>
      </c>
    </row>
    <row r="65" spans="1:6" x14ac:dyDescent="0.25">
      <c r="A65" s="9" t="s">
        <v>119</v>
      </c>
      <c r="B65" s="6">
        <v>60</v>
      </c>
      <c r="C65" s="6">
        <v>40</v>
      </c>
      <c r="D65" s="6" t="s">
        <v>3</v>
      </c>
      <c r="E65" s="7" t="s">
        <v>4</v>
      </c>
      <c r="F65">
        <f t="shared" si="0"/>
        <v>0.4</v>
      </c>
    </row>
    <row r="66" spans="1:6" x14ac:dyDescent="0.25">
      <c r="A66" s="8" t="s">
        <v>120</v>
      </c>
      <c r="B66" s="4">
        <v>60</v>
      </c>
      <c r="C66" s="4">
        <v>40</v>
      </c>
      <c r="D66" s="4" t="s">
        <v>3</v>
      </c>
      <c r="E66" s="5" t="s">
        <v>4</v>
      </c>
      <c r="F66">
        <f t="shared" si="0"/>
        <v>0.4</v>
      </c>
    </row>
    <row r="67" spans="1:6" x14ac:dyDescent="0.25">
      <c r="A67" s="9" t="s">
        <v>121</v>
      </c>
      <c r="B67" s="6">
        <v>60</v>
      </c>
      <c r="C67" s="6">
        <v>40</v>
      </c>
      <c r="D67" s="6" t="s">
        <v>3</v>
      </c>
      <c r="E67" s="7" t="s">
        <v>4</v>
      </c>
      <c r="F67">
        <f t="shared" ref="F67:F130" si="1">ABS(C67 - B67) / ((ABS(C67) + ABS(B67)) / 2)</f>
        <v>0.4</v>
      </c>
    </row>
    <row r="68" spans="1:6" x14ac:dyDescent="0.25">
      <c r="A68" s="8" t="s">
        <v>122</v>
      </c>
      <c r="B68" s="4">
        <v>60</v>
      </c>
      <c r="C68" s="4">
        <v>42</v>
      </c>
      <c r="D68" s="4" t="s">
        <v>3</v>
      </c>
      <c r="E68" s="5" t="s">
        <v>4</v>
      </c>
      <c r="F68">
        <f t="shared" si="1"/>
        <v>0.35294117647058826</v>
      </c>
    </row>
    <row r="69" spans="1:6" x14ac:dyDescent="0.25">
      <c r="A69" s="9" t="s">
        <v>123</v>
      </c>
      <c r="B69" s="6">
        <v>60</v>
      </c>
      <c r="C69" s="6">
        <v>40</v>
      </c>
      <c r="D69" s="6" t="s">
        <v>3</v>
      </c>
      <c r="E69" s="7" t="s">
        <v>4</v>
      </c>
      <c r="F69">
        <f t="shared" si="1"/>
        <v>0.4</v>
      </c>
    </row>
    <row r="70" spans="1:6" x14ac:dyDescent="0.25">
      <c r="A70" s="8" t="s">
        <v>124</v>
      </c>
      <c r="B70" s="4">
        <v>60</v>
      </c>
      <c r="C70" s="4">
        <v>40</v>
      </c>
      <c r="D70" s="4" t="s">
        <v>3</v>
      </c>
      <c r="E70" s="5" t="s">
        <v>4</v>
      </c>
      <c r="F70">
        <f t="shared" si="1"/>
        <v>0.4</v>
      </c>
    </row>
    <row r="71" spans="1:6" x14ac:dyDescent="0.25">
      <c r="A71" s="9" t="s">
        <v>125</v>
      </c>
      <c r="B71" s="6">
        <v>60</v>
      </c>
      <c r="C71" s="6">
        <v>42</v>
      </c>
      <c r="D71" s="6" t="s">
        <v>3</v>
      </c>
      <c r="E71" s="7" t="s">
        <v>4</v>
      </c>
      <c r="F71">
        <f t="shared" si="1"/>
        <v>0.35294117647058826</v>
      </c>
    </row>
    <row r="72" spans="1:6" x14ac:dyDescent="0.25">
      <c r="A72" s="8" t="s">
        <v>126</v>
      </c>
      <c r="B72" s="4">
        <v>60</v>
      </c>
      <c r="C72" s="4">
        <v>40</v>
      </c>
      <c r="D72" s="4" t="s">
        <v>3</v>
      </c>
      <c r="E72" s="5" t="s">
        <v>4</v>
      </c>
      <c r="F72">
        <f t="shared" si="1"/>
        <v>0.4</v>
      </c>
    </row>
    <row r="73" spans="1:6" x14ac:dyDescent="0.25">
      <c r="A73" s="9" t="s">
        <v>127</v>
      </c>
      <c r="B73" s="6">
        <v>60</v>
      </c>
      <c r="C73" s="6">
        <v>40</v>
      </c>
      <c r="D73" s="6" t="s">
        <v>3</v>
      </c>
      <c r="E73" s="7" t="s">
        <v>4</v>
      </c>
      <c r="F73">
        <f t="shared" si="1"/>
        <v>0.4</v>
      </c>
    </row>
    <row r="74" spans="1:6" x14ac:dyDescent="0.25">
      <c r="A74" s="8" t="s">
        <v>128</v>
      </c>
      <c r="B74" s="4">
        <v>60</v>
      </c>
      <c r="C74" s="4">
        <v>42</v>
      </c>
      <c r="D74" s="4" t="s">
        <v>3</v>
      </c>
      <c r="E74" s="5" t="s">
        <v>4</v>
      </c>
      <c r="F74">
        <f t="shared" si="1"/>
        <v>0.35294117647058826</v>
      </c>
    </row>
    <row r="75" spans="1:6" x14ac:dyDescent="0.25">
      <c r="A75" s="9" t="s">
        <v>129</v>
      </c>
      <c r="B75" s="6">
        <v>60</v>
      </c>
      <c r="C75" s="6">
        <v>40</v>
      </c>
      <c r="D75" s="6" t="s">
        <v>3</v>
      </c>
      <c r="E75" s="7" t="s">
        <v>4</v>
      </c>
      <c r="F75">
        <f t="shared" si="1"/>
        <v>0.4</v>
      </c>
    </row>
    <row r="76" spans="1:6" x14ac:dyDescent="0.25">
      <c r="A76" s="8" t="s">
        <v>130</v>
      </c>
      <c r="B76" s="4">
        <v>60</v>
      </c>
      <c r="C76" s="4">
        <v>40</v>
      </c>
      <c r="D76" s="4" t="s">
        <v>3</v>
      </c>
      <c r="E76" s="5" t="s">
        <v>4</v>
      </c>
      <c r="F76">
        <f t="shared" si="1"/>
        <v>0.4</v>
      </c>
    </row>
    <row r="77" spans="1:6" x14ac:dyDescent="0.25">
      <c r="A77" s="9" t="s">
        <v>131</v>
      </c>
      <c r="B77" s="6">
        <v>60</v>
      </c>
      <c r="C77" s="6">
        <v>40</v>
      </c>
      <c r="D77" s="6" t="s">
        <v>3</v>
      </c>
      <c r="E77" s="7" t="s">
        <v>4</v>
      </c>
      <c r="F77">
        <f t="shared" si="1"/>
        <v>0.4</v>
      </c>
    </row>
    <row r="78" spans="1:6" x14ac:dyDescent="0.25">
      <c r="A78" s="8" t="s">
        <v>132</v>
      </c>
      <c r="B78" s="4">
        <v>60</v>
      </c>
      <c r="C78" s="4">
        <v>42</v>
      </c>
      <c r="D78" s="4" t="s">
        <v>3</v>
      </c>
      <c r="E78" s="5" t="s">
        <v>4</v>
      </c>
      <c r="F78">
        <f t="shared" si="1"/>
        <v>0.35294117647058826</v>
      </c>
    </row>
    <row r="79" spans="1:6" x14ac:dyDescent="0.25">
      <c r="A79" s="9" t="s">
        <v>133</v>
      </c>
      <c r="B79" s="6">
        <v>60</v>
      </c>
      <c r="C79" s="6">
        <v>40</v>
      </c>
      <c r="D79" s="6" t="s">
        <v>3</v>
      </c>
      <c r="E79" s="7" t="s">
        <v>4</v>
      </c>
      <c r="F79">
        <f t="shared" si="1"/>
        <v>0.4</v>
      </c>
    </row>
    <row r="80" spans="1:6" x14ac:dyDescent="0.25">
      <c r="A80" s="8" t="s">
        <v>134</v>
      </c>
      <c r="B80" s="4">
        <v>60</v>
      </c>
      <c r="C80" s="4">
        <v>40</v>
      </c>
      <c r="D80" s="4" t="s">
        <v>3</v>
      </c>
      <c r="E80" s="5" t="s">
        <v>4</v>
      </c>
      <c r="F80">
        <f t="shared" si="1"/>
        <v>0.4</v>
      </c>
    </row>
    <row r="81" spans="1:6" x14ac:dyDescent="0.25">
      <c r="A81" s="9" t="s">
        <v>135</v>
      </c>
      <c r="B81" s="6">
        <v>60</v>
      </c>
      <c r="C81" s="6">
        <v>40</v>
      </c>
      <c r="D81" s="6" t="s">
        <v>3</v>
      </c>
      <c r="E81" s="7" t="s">
        <v>4</v>
      </c>
      <c r="F81">
        <f t="shared" si="1"/>
        <v>0.4</v>
      </c>
    </row>
    <row r="82" spans="1:6" x14ac:dyDescent="0.25">
      <c r="A82" s="8" t="s">
        <v>136</v>
      </c>
      <c r="B82" s="4">
        <v>60</v>
      </c>
      <c r="C82" s="4">
        <v>40</v>
      </c>
      <c r="D82" s="4" t="s">
        <v>3</v>
      </c>
      <c r="E82" s="5" t="s">
        <v>4</v>
      </c>
      <c r="F82">
        <f t="shared" si="1"/>
        <v>0.4</v>
      </c>
    </row>
    <row r="83" spans="1:6" x14ac:dyDescent="0.25">
      <c r="A83" s="9" t="s">
        <v>137</v>
      </c>
      <c r="B83" s="6">
        <v>60</v>
      </c>
      <c r="C83" s="6">
        <v>40</v>
      </c>
      <c r="D83" s="6" t="s">
        <v>3</v>
      </c>
      <c r="E83" s="7" t="s">
        <v>4</v>
      </c>
      <c r="F83">
        <f t="shared" si="1"/>
        <v>0.4</v>
      </c>
    </row>
    <row r="84" spans="1:6" x14ac:dyDescent="0.25">
      <c r="A84" s="8" t="s">
        <v>138</v>
      </c>
      <c r="B84" s="4">
        <v>60</v>
      </c>
      <c r="C84" s="4">
        <v>40</v>
      </c>
      <c r="D84" s="4" t="s">
        <v>3</v>
      </c>
      <c r="E84" s="5" t="s">
        <v>4</v>
      </c>
      <c r="F84">
        <f t="shared" si="1"/>
        <v>0.4</v>
      </c>
    </row>
    <row r="85" spans="1:6" x14ac:dyDescent="0.25">
      <c r="A85" s="9" t="s">
        <v>139</v>
      </c>
      <c r="B85" s="6">
        <v>60</v>
      </c>
      <c r="C85" s="6">
        <v>40</v>
      </c>
      <c r="D85" s="6" t="s">
        <v>3</v>
      </c>
      <c r="E85" s="7" t="s">
        <v>4</v>
      </c>
      <c r="F85">
        <f t="shared" si="1"/>
        <v>0.4</v>
      </c>
    </row>
    <row r="86" spans="1:6" x14ac:dyDescent="0.25">
      <c r="A86" s="8" t="s">
        <v>140</v>
      </c>
      <c r="B86" s="4">
        <v>60</v>
      </c>
      <c r="C86" s="4">
        <v>40</v>
      </c>
      <c r="D86" s="4" t="s">
        <v>3</v>
      </c>
      <c r="E86" s="5" t="s">
        <v>4</v>
      </c>
      <c r="F86">
        <f t="shared" si="1"/>
        <v>0.4</v>
      </c>
    </row>
    <row r="87" spans="1:6" x14ac:dyDescent="0.25">
      <c r="A87" s="9" t="s">
        <v>141</v>
      </c>
      <c r="B87" s="6">
        <v>60</v>
      </c>
      <c r="C87" s="6">
        <v>40</v>
      </c>
      <c r="D87" s="6" t="s">
        <v>3</v>
      </c>
      <c r="E87" s="7" t="s">
        <v>4</v>
      </c>
      <c r="F87">
        <f t="shared" si="1"/>
        <v>0.4</v>
      </c>
    </row>
    <row r="88" spans="1:6" x14ac:dyDescent="0.25">
      <c r="A88" s="8" t="s">
        <v>142</v>
      </c>
      <c r="B88" s="4">
        <v>60</v>
      </c>
      <c r="C88" s="4">
        <v>42</v>
      </c>
      <c r="D88" s="4" t="s">
        <v>3</v>
      </c>
      <c r="E88" s="5" t="s">
        <v>4</v>
      </c>
      <c r="F88">
        <f t="shared" si="1"/>
        <v>0.35294117647058826</v>
      </c>
    </row>
    <row r="89" spans="1:6" x14ac:dyDescent="0.25">
      <c r="A89" s="9" t="s">
        <v>143</v>
      </c>
      <c r="B89" s="6">
        <v>60</v>
      </c>
      <c r="C89" s="6">
        <v>42</v>
      </c>
      <c r="D89" s="6" t="s">
        <v>3</v>
      </c>
      <c r="E89" s="7" t="s">
        <v>4</v>
      </c>
      <c r="F89">
        <f t="shared" si="1"/>
        <v>0.35294117647058826</v>
      </c>
    </row>
    <row r="90" spans="1:6" x14ac:dyDescent="0.25">
      <c r="A90" s="8" t="s">
        <v>144</v>
      </c>
      <c r="B90" s="4">
        <v>60</v>
      </c>
      <c r="C90" s="4">
        <v>42</v>
      </c>
      <c r="D90" s="4" t="s">
        <v>3</v>
      </c>
      <c r="E90" s="5" t="s">
        <v>4</v>
      </c>
      <c r="F90">
        <f t="shared" si="1"/>
        <v>0.35294117647058826</v>
      </c>
    </row>
    <row r="91" spans="1:6" x14ac:dyDescent="0.25">
      <c r="A91" s="9" t="s">
        <v>145</v>
      </c>
      <c r="B91" s="6">
        <v>60</v>
      </c>
      <c r="C91" s="6">
        <v>40</v>
      </c>
      <c r="D91" s="6" t="s">
        <v>3</v>
      </c>
      <c r="E91" s="7" t="s">
        <v>4</v>
      </c>
      <c r="F91">
        <f t="shared" si="1"/>
        <v>0.4</v>
      </c>
    </row>
    <row r="92" spans="1:6" x14ac:dyDescent="0.25">
      <c r="A92" s="8" t="s">
        <v>146</v>
      </c>
      <c r="B92" s="4">
        <v>60</v>
      </c>
      <c r="C92" s="4">
        <v>40</v>
      </c>
      <c r="D92" s="4" t="s">
        <v>3</v>
      </c>
      <c r="E92" s="5" t="s">
        <v>4</v>
      </c>
      <c r="F92">
        <f t="shared" si="1"/>
        <v>0.4</v>
      </c>
    </row>
    <row r="93" spans="1:6" x14ac:dyDescent="0.25">
      <c r="A93" s="9" t="s">
        <v>147</v>
      </c>
      <c r="B93" s="6">
        <v>60</v>
      </c>
      <c r="C93" s="6">
        <v>40</v>
      </c>
      <c r="D93" s="6" t="s">
        <v>3</v>
      </c>
      <c r="E93" s="7" t="s">
        <v>4</v>
      </c>
      <c r="F93">
        <f t="shared" si="1"/>
        <v>0.4</v>
      </c>
    </row>
    <row r="94" spans="1:6" x14ac:dyDescent="0.25">
      <c r="A94" s="8" t="s">
        <v>148</v>
      </c>
      <c r="B94" s="4">
        <v>60</v>
      </c>
      <c r="C94" s="4">
        <v>42</v>
      </c>
      <c r="D94" s="4" t="s">
        <v>3</v>
      </c>
      <c r="E94" s="5" t="s">
        <v>4</v>
      </c>
      <c r="F94">
        <f t="shared" si="1"/>
        <v>0.35294117647058826</v>
      </c>
    </row>
    <row r="95" spans="1:6" x14ac:dyDescent="0.25">
      <c r="A95" s="9" t="s">
        <v>149</v>
      </c>
      <c r="B95" s="6">
        <v>60</v>
      </c>
      <c r="C95" s="6">
        <v>40</v>
      </c>
      <c r="D95" s="6" t="s">
        <v>3</v>
      </c>
      <c r="E95" s="7" t="s">
        <v>4</v>
      </c>
      <c r="F95">
        <f t="shared" si="1"/>
        <v>0.4</v>
      </c>
    </row>
    <row r="96" spans="1:6" x14ac:dyDescent="0.25">
      <c r="A96" s="8" t="s">
        <v>150</v>
      </c>
      <c r="B96" s="4">
        <v>60</v>
      </c>
      <c r="C96" s="4">
        <v>40</v>
      </c>
      <c r="D96" s="4" t="s">
        <v>3</v>
      </c>
      <c r="E96" s="5" t="s">
        <v>4</v>
      </c>
      <c r="F96">
        <f t="shared" si="1"/>
        <v>0.4</v>
      </c>
    </row>
    <row r="97" spans="1:6" x14ac:dyDescent="0.25">
      <c r="A97" s="9" t="s">
        <v>151</v>
      </c>
      <c r="B97" s="6">
        <v>60</v>
      </c>
      <c r="C97" s="6">
        <v>40</v>
      </c>
      <c r="D97" s="6" t="s">
        <v>3</v>
      </c>
      <c r="E97" s="7" t="s">
        <v>4</v>
      </c>
      <c r="F97">
        <f t="shared" si="1"/>
        <v>0.4</v>
      </c>
    </row>
    <row r="98" spans="1:6" x14ac:dyDescent="0.25">
      <c r="A98" s="8" t="s">
        <v>152</v>
      </c>
      <c r="B98" s="4">
        <v>60</v>
      </c>
      <c r="C98" s="4">
        <v>40</v>
      </c>
      <c r="D98" s="4" t="s">
        <v>3</v>
      </c>
      <c r="E98" s="5" t="s">
        <v>4</v>
      </c>
      <c r="F98">
        <f t="shared" si="1"/>
        <v>0.4</v>
      </c>
    </row>
    <row r="99" spans="1:6" x14ac:dyDescent="0.25">
      <c r="A99" s="9" t="s">
        <v>153</v>
      </c>
      <c r="B99" s="6">
        <v>60</v>
      </c>
      <c r="C99" s="6">
        <v>40</v>
      </c>
      <c r="D99" s="6" t="s">
        <v>3</v>
      </c>
      <c r="E99" s="7" t="s">
        <v>4</v>
      </c>
      <c r="F99">
        <f t="shared" si="1"/>
        <v>0.4</v>
      </c>
    </row>
    <row r="100" spans="1:6" x14ac:dyDescent="0.25">
      <c r="A100" s="8" t="s">
        <v>154</v>
      </c>
      <c r="B100" s="4">
        <v>60</v>
      </c>
      <c r="C100" s="4">
        <v>40</v>
      </c>
      <c r="D100" s="4" t="s">
        <v>3</v>
      </c>
      <c r="E100" s="5" t="s">
        <v>4</v>
      </c>
      <c r="F100">
        <f t="shared" si="1"/>
        <v>0.4</v>
      </c>
    </row>
    <row r="101" spans="1:6" x14ac:dyDescent="0.25">
      <c r="A101" s="9" t="s">
        <v>155</v>
      </c>
      <c r="B101" s="6">
        <v>60</v>
      </c>
      <c r="C101" s="6">
        <v>40</v>
      </c>
      <c r="D101" s="6" t="s">
        <v>3</v>
      </c>
      <c r="E101" s="7" t="s">
        <v>4</v>
      </c>
      <c r="F101">
        <f t="shared" si="1"/>
        <v>0.4</v>
      </c>
    </row>
    <row r="102" spans="1:6" x14ac:dyDescent="0.25">
      <c r="A102" s="8" t="s">
        <v>156</v>
      </c>
      <c r="B102" s="4">
        <v>60</v>
      </c>
      <c r="C102" s="4">
        <v>42</v>
      </c>
      <c r="D102" s="4" t="s">
        <v>3</v>
      </c>
      <c r="E102" s="5" t="s">
        <v>4</v>
      </c>
      <c r="F102">
        <f t="shared" si="1"/>
        <v>0.35294117647058826</v>
      </c>
    </row>
    <row r="103" spans="1:6" x14ac:dyDescent="0.25">
      <c r="A103" s="9" t="s">
        <v>157</v>
      </c>
      <c r="B103" s="6">
        <v>60</v>
      </c>
      <c r="C103" s="6">
        <v>42</v>
      </c>
      <c r="D103" s="6" t="s">
        <v>3</v>
      </c>
      <c r="E103" s="7" t="s">
        <v>4</v>
      </c>
      <c r="F103">
        <f t="shared" si="1"/>
        <v>0.35294117647058826</v>
      </c>
    </row>
    <row r="104" spans="1:6" x14ac:dyDescent="0.25">
      <c r="A104" s="8" t="s">
        <v>158</v>
      </c>
      <c r="B104" s="4">
        <v>60</v>
      </c>
      <c r="C104" s="4">
        <v>40</v>
      </c>
      <c r="D104" s="4" t="s">
        <v>3</v>
      </c>
      <c r="E104" s="5" t="s">
        <v>4</v>
      </c>
      <c r="F104">
        <f t="shared" si="1"/>
        <v>0.4</v>
      </c>
    </row>
    <row r="105" spans="1:6" x14ac:dyDescent="0.25">
      <c r="A105" s="9" t="s">
        <v>159</v>
      </c>
      <c r="B105" s="6">
        <v>60</v>
      </c>
      <c r="C105" s="6">
        <v>40</v>
      </c>
      <c r="D105" s="6" t="s">
        <v>3</v>
      </c>
      <c r="E105" s="7" t="s">
        <v>4</v>
      </c>
      <c r="F105">
        <f t="shared" si="1"/>
        <v>0.4</v>
      </c>
    </row>
    <row r="106" spans="1:6" x14ac:dyDescent="0.25">
      <c r="A106" s="8" t="s">
        <v>160</v>
      </c>
      <c r="B106" s="4">
        <v>60</v>
      </c>
      <c r="C106" s="4">
        <v>40</v>
      </c>
      <c r="D106" s="4" t="s">
        <v>3</v>
      </c>
      <c r="E106" s="5" t="s">
        <v>4</v>
      </c>
      <c r="F106">
        <f t="shared" si="1"/>
        <v>0.4</v>
      </c>
    </row>
    <row r="107" spans="1:6" x14ac:dyDescent="0.25">
      <c r="A107" s="9" t="s">
        <v>161</v>
      </c>
      <c r="B107" s="6">
        <v>60</v>
      </c>
      <c r="C107" s="6">
        <v>40</v>
      </c>
      <c r="D107" s="6" t="s">
        <v>3</v>
      </c>
      <c r="E107" s="7" t="s">
        <v>4</v>
      </c>
      <c r="F107">
        <f t="shared" si="1"/>
        <v>0.4</v>
      </c>
    </row>
    <row r="108" spans="1:6" x14ac:dyDescent="0.25">
      <c r="A108" s="8" t="s">
        <v>162</v>
      </c>
      <c r="B108" s="4">
        <v>60</v>
      </c>
      <c r="C108" s="4">
        <v>40</v>
      </c>
      <c r="D108" s="4" t="s">
        <v>3</v>
      </c>
      <c r="E108" s="5" t="s">
        <v>4</v>
      </c>
      <c r="F108">
        <f t="shared" si="1"/>
        <v>0.4</v>
      </c>
    </row>
    <row r="109" spans="1:6" x14ac:dyDescent="0.25">
      <c r="A109" s="9" t="s">
        <v>163</v>
      </c>
      <c r="B109" s="6">
        <v>60</v>
      </c>
      <c r="C109" s="6">
        <v>40</v>
      </c>
      <c r="D109" s="6" t="s">
        <v>3</v>
      </c>
      <c r="E109" s="7" t="s">
        <v>4</v>
      </c>
      <c r="F109">
        <f t="shared" si="1"/>
        <v>0.4</v>
      </c>
    </row>
    <row r="110" spans="1:6" x14ac:dyDescent="0.25">
      <c r="A110" s="8" t="s">
        <v>164</v>
      </c>
      <c r="B110" s="4">
        <v>60</v>
      </c>
      <c r="C110" s="4">
        <v>40</v>
      </c>
      <c r="D110" s="4" t="s">
        <v>3</v>
      </c>
      <c r="E110" s="5" t="s">
        <v>4</v>
      </c>
      <c r="F110">
        <f t="shared" si="1"/>
        <v>0.4</v>
      </c>
    </row>
    <row r="111" spans="1:6" x14ac:dyDescent="0.25">
      <c r="A111" s="9" t="s">
        <v>165</v>
      </c>
      <c r="B111" s="6">
        <v>60</v>
      </c>
      <c r="C111" s="6">
        <v>40</v>
      </c>
      <c r="D111" s="6" t="s">
        <v>3</v>
      </c>
      <c r="E111" s="7" t="s">
        <v>4</v>
      </c>
      <c r="F111">
        <f t="shared" si="1"/>
        <v>0.4</v>
      </c>
    </row>
    <row r="112" spans="1:6" x14ac:dyDescent="0.25">
      <c r="A112" s="8" t="s">
        <v>166</v>
      </c>
      <c r="B112" s="4">
        <v>60</v>
      </c>
      <c r="C112" s="4">
        <v>40</v>
      </c>
      <c r="D112" s="4" t="s">
        <v>3</v>
      </c>
      <c r="E112" s="5" t="s">
        <v>4</v>
      </c>
      <c r="F112">
        <f t="shared" si="1"/>
        <v>0.4</v>
      </c>
    </row>
    <row r="113" spans="1:6" x14ac:dyDescent="0.25">
      <c r="A113" s="9" t="s">
        <v>167</v>
      </c>
      <c r="B113" s="6">
        <v>60</v>
      </c>
      <c r="C113" s="6">
        <v>40</v>
      </c>
      <c r="D113" s="6" t="s">
        <v>3</v>
      </c>
      <c r="E113" s="7" t="s">
        <v>4</v>
      </c>
      <c r="F113">
        <f t="shared" si="1"/>
        <v>0.4</v>
      </c>
    </row>
    <row r="114" spans="1:6" x14ac:dyDescent="0.25">
      <c r="A114" t="s">
        <v>168</v>
      </c>
      <c r="B114">
        <v>60</v>
      </c>
      <c r="C114">
        <v>42</v>
      </c>
      <c r="D114" t="s">
        <v>3</v>
      </c>
      <c r="E114" t="s">
        <v>4</v>
      </c>
      <c r="F114">
        <f t="shared" si="1"/>
        <v>0.35294117647058826</v>
      </c>
    </row>
    <row r="115" spans="1:6" x14ac:dyDescent="0.25">
      <c r="A115" t="s">
        <v>169</v>
      </c>
      <c r="B115">
        <v>60</v>
      </c>
      <c r="C115">
        <v>40</v>
      </c>
      <c r="D115" t="s">
        <v>3</v>
      </c>
      <c r="E115" t="s">
        <v>4</v>
      </c>
      <c r="F115">
        <f t="shared" si="1"/>
        <v>0.4</v>
      </c>
    </row>
    <row r="116" spans="1:6" x14ac:dyDescent="0.25">
      <c r="A116" t="s">
        <v>170</v>
      </c>
      <c r="B116">
        <v>60</v>
      </c>
      <c r="C116">
        <v>40</v>
      </c>
      <c r="D116" t="s">
        <v>3</v>
      </c>
      <c r="E116" t="s">
        <v>4</v>
      </c>
      <c r="F116">
        <f t="shared" si="1"/>
        <v>0.4</v>
      </c>
    </row>
    <row r="117" spans="1:6" x14ac:dyDescent="0.25">
      <c r="A117" t="s">
        <v>171</v>
      </c>
      <c r="B117">
        <v>60</v>
      </c>
      <c r="C117">
        <v>40</v>
      </c>
      <c r="D117" t="s">
        <v>3</v>
      </c>
      <c r="E117" t="s">
        <v>4</v>
      </c>
      <c r="F117">
        <f t="shared" si="1"/>
        <v>0.4</v>
      </c>
    </row>
    <row r="118" spans="1:6" x14ac:dyDescent="0.25">
      <c r="A118" t="s">
        <v>172</v>
      </c>
      <c r="B118">
        <v>60</v>
      </c>
      <c r="C118">
        <v>40</v>
      </c>
      <c r="D118" t="s">
        <v>3</v>
      </c>
      <c r="E118" t="s">
        <v>4</v>
      </c>
      <c r="F118">
        <f t="shared" si="1"/>
        <v>0.4</v>
      </c>
    </row>
    <row r="119" spans="1:6" x14ac:dyDescent="0.25">
      <c r="A119" t="s">
        <v>173</v>
      </c>
      <c r="B119">
        <v>60</v>
      </c>
      <c r="C119">
        <v>40</v>
      </c>
      <c r="D119" t="s">
        <v>3</v>
      </c>
      <c r="E119" t="s">
        <v>4</v>
      </c>
      <c r="F119">
        <f t="shared" si="1"/>
        <v>0.4</v>
      </c>
    </row>
    <row r="120" spans="1:6" x14ac:dyDescent="0.25">
      <c r="A120" t="s">
        <v>174</v>
      </c>
      <c r="B120">
        <v>60</v>
      </c>
      <c r="C120">
        <v>40</v>
      </c>
      <c r="D120" t="s">
        <v>3</v>
      </c>
      <c r="E120" t="s">
        <v>4</v>
      </c>
      <c r="F120">
        <f t="shared" si="1"/>
        <v>0.4</v>
      </c>
    </row>
    <row r="121" spans="1:6" x14ac:dyDescent="0.25">
      <c r="A121" t="s">
        <v>175</v>
      </c>
      <c r="B121">
        <v>60</v>
      </c>
      <c r="C121">
        <v>40</v>
      </c>
      <c r="D121" t="s">
        <v>3</v>
      </c>
      <c r="E121" t="s">
        <v>4</v>
      </c>
      <c r="F121">
        <f t="shared" si="1"/>
        <v>0.4</v>
      </c>
    </row>
    <row r="122" spans="1:6" x14ac:dyDescent="0.25">
      <c r="A122" t="s">
        <v>176</v>
      </c>
      <c r="B122">
        <v>60</v>
      </c>
      <c r="C122">
        <v>40</v>
      </c>
      <c r="D122" t="s">
        <v>3</v>
      </c>
      <c r="E122" t="s">
        <v>4</v>
      </c>
      <c r="F122">
        <f t="shared" si="1"/>
        <v>0.4</v>
      </c>
    </row>
    <row r="123" spans="1:6" x14ac:dyDescent="0.25">
      <c r="A123" t="s">
        <v>177</v>
      </c>
      <c r="B123">
        <v>60</v>
      </c>
      <c r="C123">
        <v>40</v>
      </c>
      <c r="D123" t="s">
        <v>3</v>
      </c>
      <c r="E123" t="s">
        <v>4</v>
      </c>
      <c r="F123">
        <f t="shared" si="1"/>
        <v>0.4</v>
      </c>
    </row>
    <row r="124" spans="1:6" x14ac:dyDescent="0.25">
      <c r="A124" t="s">
        <v>178</v>
      </c>
      <c r="B124">
        <v>60</v>
      </c>
      <c r="C124">
        <v>42</v>
      </c>
      <c r="D124" t="s">
        <v>3</v>
      </c>
      <c r="E124" t="s">
        <v>4</v>
      </c>
      <c r="F124">
        <f t="shared" si="1"/>
        <v>0.35294117647058826</v>
      </c>
    </row>
    <row r="125" spans="1:6" x14ac:dyDescent="0.25">
      <c r="A125" t="s">
        <v>179</v>
      </c>
      <c r="B125">
        <v>60</v>
      </c>
      <c r="C125">
        <v>40</v>
      </c>
      <c r="D125" t="s">
        <v>3</v>
      </c>
      <c r="E125" t="s">
        <v>4</v>
      </c>
      <c r="F125">
        <f t="shared" si="1"/>
        <v>0.4</v>
      </c>
    </row>
    <row r="126" spans="1:6" x14ac:dyDescent="0.25">
      <c r="A126" t="s">
        <v>180</v>
      </c>
      <c r="B126">
        <v>60</v>
      </c>
      <c r="C126">
        <v>42</v>
      </c>
      <c r="D126" t="s">
        <v>3</v>
      </c>
      <c r="E126" t="s">
        <v>4</v>
      </c>
      <c r="F126">
        <f t="shared" si="1"/>
        <v>0.35294117647058826</v>
      </c>
    </row>
    <row r="127" spans="1:6" x14ac:dyDescent="0.25">
      <c r="A127" t="s">
        <v>181</v>
      </c>
      <c r="B127">
        <v>60</v>
      </c>
      <c r="C127">
        <v>40</v>
      </c>
      <c r="D127" t="s">
        <v>3</v>
      </c>
      <c r="E127" t="s">
        <v>4</v>
      </c>
      <c r="F127">
        <f t="shared" si="1"/>
        <v>0.4</v>
      </c>
    </row>
    <row r="128" spans="1:6" x14ac:dyDescent="0.25">
      <c r="A128" t="s">
        <v>182</v>
      </c>
      <c r="B128">
        <v>60</v>
      </c>
      <c r="C128">
        <v>42</v>
      </c>
      <c r="D128" t="s">
        <v>3</v>
      </c>
      <c r="E128" t="s">
        <v>4</v>
      </c>
      <c r="F128">
        <f t="shared" si="1"/>
        <v>0.35294117647058826</v>
      </c>
    </row>
    <row r="129" spans="1:6" x14ac:dyDescent="0.25">
      <c r="A129" t="s">
        <v>183</v>
      </c>
      <c r="B129">
        <v>60</v>
      </c>
      <c r="C129">
        <v>42</v>
      </c>
      <c r="D129" t="s">
        <v>3</v>
      </c>
      <c r="E129" t="s">
        <v>4</v>
      </c>
      <c r="F129">
        <f t="shared" si="1"/>
        <v>0.35294117647058826</v>
      </c>
    </row>
    <row r="130" spans="1:6" x14ac:dyDescent="0.25">
      <c r="A130" t="s">
        <v>184</v>
      </c>
      <c r="B130">
        <v>60</v>
      </c>
      <c r="C130">
        <v>42</v>
      </c>
      <c r="D130" t="s">
        <v>3</v>
      </c>
      <c r="E130" t="s">
        <v>4</v>
      </c>
      <c r="F130">
        <f t="shared" si="1"/>
        <v>0.35294117647058826</v>
      </c>
    </row>
    <row r="131" spans="1:6" x14ac:dyDescent="0.25">
      <c r="A131" t="s">
        <v>185</v>
      </c>
      <c r="B131">
        <v>60</v>
      </c>
      <c r="C131">
        <v>40</v>
      </c>
      <c r="D131" t="s">
        <v>3</v>
      </c>
      <c r="E131" t="s">
        <v>4</v>
      </c>
      <c r="F131">
        <f t="shared" ref="F131:F186" si="2">ABS(C131 - B131) / ((ABS(C131) + ABS(B131)) / 2)</f>
        <v>0.4</v>
      </c>
    </row>
    <row r="132" spans="1:6" x14ac:dyDescent="0.25">
      <c r="A132" t="s">
        <v>186</v>
      </c>
      <c r="B132">
        <v>60</v>
      </c>
      <c r="C132">
        <v>42</v>
      </c>
      <c r="D132" t="s">
        <v>3</v>
      </c>
      <c r="E132" t="s">
        <v>4</v>
      </c>
      <c r="F132">
        <f t="shared" si="2"/>
        <v>0.35294117647058826</v>
      </c>
    </row>
    <row r="133" spans="1:6" x14ac:dyDescent="0.25">
      <c r="A133" t="s">
        <v>187</v>
      </c>
      <c r="B133">
        <v>60</v>
      </c>
      <c r="C133">
        <v>40</v>
      </c>
      <c r="D133" t="s">
        <v>3</v>
      </c>
      <c r="E133" t="s">
        <v>4</v>
      </c>
      <c r="F133">
        <f t="shared" si="2"/>
        <v>0.4</v>
      </c>
    </row>
    <row r="134" spans="1:6" x14ac:dyDescent="0.25">
      <c r="A134" t="s">
        <v>188</v>
      </c>
      <c r="B134">
        <v>60</v>
      </c>
      <c r="C134">
        <v>40</v>
      </c>
      <c r="D134" t="s">
        <v>3</v>
      </c>
      <c r="E134" t="s">
        <v>4</v>
      </c>
      <c r="F134">
        <f t="shared" si="2"/>
        <v>0.4</v>
      </c>
    </row>
    <row r="135" spans="1:6" x14ac:dyDescent="0.25">
      <c r="A135" t="s">
        <v>189</v>
      </c>
      <c r="B135">
        <v>60</v>
      </c>
      <c r="C135">
        <v>40</v>
      </c>
      <c r="D135" t="s">
        <v>3</v>
      </c>
      <c r="E135" t="s">
        <v>4</v>
      </c>
      <c r="F135">
        <f t="shared" si="2"/>
        <v>0.4</v>
      </c>
    </row>
    <row r="136" spans="1:6" x14ac:dyDescent="0.25">
      <c r="A136" t="s">
        <v>190</v>
      </c>
      <c r="B136">
        <v>60</v>
      </c>
      <c r="C136">
        <v>40</v>
      </c>
      <c r="D136" t="s">
        <v>3</v>
      </c>
      <c r="E136" t="s">
        <v>4</v>
      </c>
      <c r="F136">
        <f t="shared" si="2"/>
        <v>0.4</v>
      </c>
    </row>
    <row r="137" spans="1:6" x14ac:dyDescent="0.25">
      <c r="A137" t="s">
        <v>191</v>
      </c>
      <c r="B137">
        <v>60</v>
      </c>
      <c r="C137">
        <v>40</v>
      </c>
      <c r="D137" t="s">
        <v>3</v>
      </c>
      <c r="E137" t="s">
        <v>4</v>
      </c>
      <c r="F137">
        <f t="shared" si="2"/>
        <v>0.4</v>
      </c>
    </row>
    <row r="138" spans="1:6" x14ac:dyDescent="0.25">
      <c r="A138" t="s">
        <v>192</v>
      </c>
      <c r="B138">
        <v>60</v>
      </c>
      <c r="C138">
        <v>40</v>
      </c>
      <c r="D138" t="s">
        <v>3</v>
      </c>
      <c r="E138" t="s">
        <v>4</v>
      </c>
      <c r="F138">
        <f t="shared" si="2"/>
        <v>0.4</v>
      </c>
    </row>
    <row r="139" spans="1:6" x14ac:dyDescent="0.25">
      <c r="A139" t="s">
        <v>193</v>
      </c>
      <c r="B139">
        <v>60</v>
      </c>
      <c r="C139">
        <v>40</v>
      </c>
      <c r="D139" t="s">
        <v>3</v>
      </c>
      <c r="E139" t="s">
        <v>4</v>
      </c>
      <c r="F139">
        <f t="shared" si="2"/>
        <v>0.4</v>
      </c>
    </row>
    <row r="140" spans="1:6" x14ac:dyDescent="0.25">
      <c r="A140" t="s">
        <v>194</v>
      </c>
      <c r="B140">
        <v>60</v>
      </c>
      <c r="C140">
        <v>42</v>
      </c>
      <c r="D140" t="s">
        <v>3</v>
      </c>
      <c r="E140" t="s">
        <v>4</v>
      </c>
      <c r="F140">
        <f t="shared" si="2"/>
        <v>0.35294117647058826</v>
      </c>
    </row>
    <row r="141" spans="1:6" x14ac:dyDescent="0.25">
      <c r="A141" t="s">
        <v>195</v>
      </c>
      <c r="B141">
        <v>60</v>
      </c>
      <c r="C141">
        <v>42</v>
      </c>
      <c r="D141" t="s">
        <v>3</v>
      </c>
      <c r="E141" t="s">
        <v>4</v>
      </c>
      <c r="F141">
        <f t="shared" si="2"/>
        <v>0.35294117647058826</v>
      </c>
    </row>
    <row r="142" spans="1:6" x14ac:dyDescent="0.25">
      <c r="A142" t="s">
        <v>196</v>
      </c>
      <c r="B142">
        <v>60</v>
      </c>
      <c r="C142">
        <v>40</v>
      </c>
      <c r="D142" t="s">
        <v>3</v>
      </c>
      <c r="E142" t="s">
        <v>4</v>
      </c>
      <c r="F142">
        <f t="shared" si="2"/>
        <v>0.4</v>
      </c>
    </row>
    <row r="143" spans="1:6" x14ac:dyDescent="0.25">
      <c r="A143" t="s">
        <v>197</v>
      </c>
      <c r="B143">
        <v>60</v>
      </c>
      <c r="C143">
        <v>40</v>
      </c>
      <c r="D143" t="s">
        <v>3</v>
      </c>
      <c r="E143" t="s">
        <v>4</v>
      </c>
      <c r="F143">
        <f t="shared" si="2"/>
        <v>0.4</v>
      </c>
    </row>
    <row r="144" spans="1:6" x14ac:dyDescent="0.25">
      <c r="A144" t="s">
        <v>198</v>
      </c>
      <c r="B144">
        <v>60</v>
      </c>
      <c r="C144">
        <v>40</v>
      </c>
      <c r="D144" t="s">
        <v>3</v>
      </c>
      <c r="E144" t="s">
        <v>4</v>
      </c>
      <c r="F144">
        <f t="shared" si="2"/>
        <v>0.4</v>
      </c>
    </row>
    <row r="145" spans="1:6" x14ac:dyDescent="0.25">
      <c r="A145" t="s">
        <v>199</v>
      </c>
      <c r="B145">
        <v>60</v>
      </c>
      <c r="C145">
        <v>40</v>
      </c>
      <c r="D145" t="s">
        <v>3</v>
      </c>
      <c r="E145" t="s">
        <v>4</v>
      </c>
      <c r="F145">
        <f t="shared" si="2"/>
        <v>0.4</v>
      </c>
    </row>
    <row r="146" spans="1:6" x14ac:dyDescent="0.25">
      <c r="A146" t="s">
        <v>200</v>
      </c>
      <c r="B146">
        <v>60</v>
      </c>
      <c r="C146">
        <v>40</v>
      </c>
      <c r="D146" t="s">
        <v>3</v>
      </c>
      <c r="E146" t="s">
        <v>4</v>
      </c>
      <c r="F146">
        <f t="shared" si="2"/>
        <v>0.4</v>
      </c>
    </row>
    <row r="147" spans="1:6" x14ac:dyDescent="0.25">
      <c r="A147" t="s">
        <v>201</v>
      </c>
      <c r="B147">
        <v>60</v>
      </c>
      <c r="C147">
        <v>42</v>
      </c>
      <c r="D147" t="s">
        <v>3</v>
      </c>
      <c r="E147" t="s">
        <v>4</v>
      </c>
      <c r="F147">
        <f t="shared" si="2"/>
        <v>0.35294117647058826</v>
      </c>
    </row>
    <row r="148" spans="1:6" x14ac:dyDescent="0.25">
      <c r="A148" t="s">
        <v>202</v>
      </c>
      <c r="B148">
        <v>60</v>
      </c>
      <c r="C148">
        <v>42</v>
      </c>
      <c r="D148" t="s">
        <v>3</v>
      </c>
      <c r="E148" t="s">
        <v>4</v>
      </c>
      <c r="F148">
        <f t="shared" si="2"/>
        <v>0.35294117647058826</v>
      </c>
    </row>
    <row r="149" spans="1:6" x14ac:dyDescent="0.25">
      <c r="A149" t="s">
        <v>203</v>
      </c>
      <c r="B149">
        <v>60</v>
      </c>
      <c r="C149">
        <v>40</v>
      </c>
      <c r="D149" t="s">
        <v>3</v>
      </c>
      <c r="E149" t="s">
        <v>4</v>
      </c>
      <c r="F149">
        <f t="shared" si="2"/>
        <v>0.4</v>
      </c>
    </row>
    <row r="150" spans="1:6" x14ac:dyDescent="0.25">
      <c r="A150" t="s">
        <v>204</v>
      </c>
      <c r="B150">
        <v>60</v>
      </c>
      <c r="C150">
        <v>40</v>
      </c>
      <c r="D150" t="s">
        <v>3</v>
      </c>
      <c r="E150" t="s">
        <v>4</v>
      </c>
      <c r="F150">
        <f t="shared" si="2"/>
        <v>0.4</v>
      </c>
    </row>
    <row r="151" spans="1:6" x14ac:dyDescent="0.25">
      <c r="A151" t="s">
        <v>205</v>
      </c>
      <c r="B151">
        <v>60</v>
      </c>
      <c r="C151">
        <v>40</v>
      </c>
      <c r="D151" t="s">
        <v>3</v>
      </c>
      <c r="E151" t="s">
        <v>4</v>
      </c>
      <c r="F151">
        <f t="shared" si="2"/>
        <v>0.4</v>
      </c>
    </row>
    <row r="152" spans="1:6" x14ac:dyDescent="0.25">
      <c r="A152" t="s">
        <v>206</v>
      </c>
      <c r="B152">
        <v>60</v>
      </c>
      <c r="C152">
        <v>40</v>
      </c>
      <c r="D152" t="s">
        <v>3</v>
      </c>
      <c r="E152" t="s">
        <v>4</v>
      </c>
      <c r="F152">
        <f t="shared" si="2"/>
        <v>0.4</v>
      </c>
    </row>
    <row r="153" spans="1:6" x14ac:dyDescent="0.25">
      <c r="A153" t="s">
        <v>207</v>
      </c>
      <c r="B153">
        <v>60</v>
      </c>
      <c r="C153">
        <v>42</v>
      </c>
      <c r="D153" t="s">
        <v>3</v>
      </c>
      <c r="E153" t="s">
        <v>4</v>
      </c>
      <c r="F153">
        <f t="shared" si="2"/>
        <v>0.35294117647058826</v>
      </c>
    </row>
    <row r="154" spans="1:6" x14ac:dyDescent="0.25">
      <c r="A154" t="s">
        <v>208</v>
      </c>
      <c r="B154">
        <v>60</v>
      </c>
      <c r="C154">
        <v>42</v>
      </c>
      <c r="D154" t="s">
        <v>3</v>
      </c>
      <c r="E154" t="s">
        <v>4</v>
      </c>
      <c r="F154">
        <f t="shared" si="2"/>
        <v>0.35294117647058826</v>
      </c>
    </row>
    <row r="155" spans="1:6" x14ac:dyDescent="0.25">
      <c r="A155" t="s">
        <v>209</v>
      </c>
      <c r="B155">
        <v>60</v>
      </c>
      <c r="C155">
        <v>40</v>
      </c>
      <c r="D155" t="s">
        <v>3</v>
      </c>
      <c r="E155" t="s">
        <v>4</v>
      </c>
      <c r="F155">
        <f t="shared" si="2"/>
        <v>0.4</v>
      </c>
    </row>
    <row r="156" spans="1:6" x14ac:dyDescent="0.25">
      <c r="A156" t="s">
        <v>210</v>
      </c>
      <c r="B156">
        <v>60</v>
      </c>
      <c r="C156">
        <v>40</v>
      </c>
      <c r="D156" t="s">
        <v>3</v>
      </c>
      <c r="E156" t="s">
        <v>4</v>
      </c>
      <c r="F156">
        <f t="shared" si="2"/>
        <v>0.4</v>
      </c>
    </row>
    <row r="157" spans="1:6" x14ac:dyDescent="0.25">
      <c r="A157" t="s">
        <v>211</v>
      </c>
      <c r="B157">
        <v>60</v>
      </c>
      <c r="C157">
        <v>42</v>
      </c>
      <c r="D157" t="s">
        <v>3</v>
      </c>
      <c r="E157" t="s">
        <v>4</v>
      </c>
      <c r="F157">
        <f t="shared" si="2"/>
        <v>0.35294117647058826</v>
      </c>
    </row>
    <row r="158" spans="1:6" x14ac:dyDescent="0.25">
      <c r="A158" t="s">
        <v>212</v>
      </c>
      <c r="B158">
        <v>60</v>
      </c>
      <c r="C158">
        <v>40</v>
      </c>
      <c r="D158" t="s">
        <v>3</v>
      </c>
      <c r="E158" t="s">
        <v>4</v>
      </c>
      <c r="F158">
        <f t="shared" si="2"/>
        <v>0.4</v>
      </c>
    </row>
    <row r="159" spans="1:6" x14ac:dyDescent="0.25">
      <c r="A159" t="s">
        <v>213</v>
      </c>
      <c r="B159">
        <v>60</v>
      </c>
      <c r="C159">
        <v>40</v>
      </c>
      <c r="D159" t="s">
        <v>3</v>
      </c>
      <c r="E159" t="s">
        <v>4</v>
      </c>
      <c r="F159">
        <f t="shared" si="2"/>
        <v>0.4</v>
      </c>
    </row>
    <row r="160" spans="1:6" x14ac:dyDescent="0.25">
      <c r="A160" t="s">
        <v>214</v>
      </c>
      <c r="B160">
        <v>60</v>
      </c>
      <c r="C160">
        <v>42</v>
      </c>
      <c r="D160" t="s">
        <v>3</v>
      </c>
      <c r="E160" t="s">
        <v>4</v>
      </c>
      <c r="F160">
        <f t="shared" si="2"/>
        <v>0.35294117647058826</v>
      </c>
    </row>
    <row r="161" spans="1:6" x14ac:dyDescent="0.25">
      <c r="A161" t="s">
        <v>215</v>
      </c>
      <c r="B161">
        <v>60</v>
      </c>
      <c r="C161">
        <v>40</v>
      </c>
      <c r="D161" t="s">
        <v>3</v>
      </c>
      <c r="E161" t="s">
        <v>4</v>
      </c>
      <c r="F161">
        <f t="shared" si="2"/>
        <v>0.4</v>
      </c>
    </row>
    <row r="162" spans="1:6" x14ac:dyDescent="0.25">
      <c r="A162" t="s">
        <v>216</v>
      </c>
      <c r="B162">
        <v>60</v>
      </c>
      <c r="C162">
        <v>40</v>
      </c>
      <c r="D162" t="s">
        <v>3</v>
      </c>
      <c r="E162" t="s">
        <v>4</v>
      </c>
      <c r="F162">
        <f t="shared" si="2"/>
        <v>0.4</v>
      </c>
    </row>
    <row r="163" spans="1:6" x14ac:dyDescent="0.25">
      <c r="A163" t="s">
        <v>217</v>
      </c>
      <c r="B163">
        <v>60</v>
      </c>
      <c r="C163">
        <v>40</v>
      </c>
      <c r="D163" t="s">
        <v>3</v>
      </c>
      <c r="E163" t="s">
        <v>4</v>
      </c>
      <c r="F163">
        <f t="shared" si="2"/>
        <v>0.4</v>
      </c>
    </row>
    <row r="164" spans="1:6" x14ac:dyDescent="0.25">
      <c r="A164" t="s">
        <v>224</v>
      </c>
      <c r="B164">
        <v>72</v>
      </c>
      <c r="C164">
        <v>85</v>
      </c>
      <c r="D164" t="s">
        <v>3</v>
      </c>
      <c r="E164" t="s">
        <v>5</v>
      </c>
      <c r="F164">
        <f t="shared" si="2"/>
        <v>0.16560509554140126</v>
      </c>
    </row>
    <row r="165" spans="1:6" x14ac:dyDescent="0.25">
      <c r="A165" t="s">
        <v>236</v>
      </c>
      <c r="B165">
        <v>72</v>
      </c>
      <c r="C165">
        <v>42</v>
      </c>
      <c r="D165" t="s">
        <v>3</v>
      </c>
      <c r="E165" t="s">
        <v>4</v>
      </c>
      <c r="F165">
        <f t="shared" si="2"/>
        <v>0.52631578947368418</v>
      </c>
    </row>
    <row r="166" spans="1:6" x14ac:dyDescent="0.25">
      <c r="A166" t="s">
        <v>237</v>
      </c>
      <c r="B166">
        <v>67</v>
      </c>
      <c r="C166">
        <v>42</v>
      </c>
      <c r="D166" t="s">
        <v>3</v>
      </c>
      <c r="E166" t="s">
        <v>4</v>
      </c>
      <c r="F166">
        <f t="shared" si="2"/>
        <v>0.45871559633027525</v>
      </c>
    </row>
    <row r="167" spans="1:6" x14ac:dyDescent="0.25">
      <c r="A167" t="s">
        <v>239</v>
      </c>
      <c r="B167">
        <v>67</v>
      </c>
      <c r="C167">
        <v>42</v>
      </c>
      <c r="D167" t="s">
        <v>3</v>
      </c>
      <c r="E167" t="s">
        <v>4</v>
      </c>
      <c r="F167">
        <f t="shared" si="2"/>
        <v>0.45871559633027525</v>
      </c>
    </row>
    <row r="168" spans="1:6" x14ac:dyDescent="0.25">
      <c r="A168" t="s">
        <v>245</v>
      </c>
      <c r="B168">
        <v>72</v>
      </c>
      <c r="C168">
        <v>85</v>
      </c>
      <c r="D168" t="s">
        <v>3</v>
      </c>
      <c r="E168" t="s">
        <v>5</v>
      </c>
      <c r="F168">
        <f t="shared" si="2"/>
        <v>0.16560509554140126</v>
      </c>
    </row>
    <row r="169" spans="1:6" x14ac:dyDescent="0.25">
      <c r="A169" t="s">
        <v>246</v>
      </c>
      <c r="B169">
        <v>72</v>
      </c>
      <c r="C169">
        <v>82</v>
      </c>
      <c r="D169" t="s">
        <v>3</v>
      </c>
      <c r="E169" t="s">
        <v>5</v>
      </c>
      <c r="F169">
        <f t="shared" si="2"/>
        <v>0.12987012987012986</v>
      </c>
    </row>
    <row r="170" spans="1:6" x14ac:dyDescent="0.25">
      <c r="A170" t="s">
        <v>248</v>
      </c>
      <c r="B170">
        <v>72</v>
      </c>
      <c r="C170">
        <v>42</v>
      </c>
      <c r="D170" t="s">
        <v>3</v>
      </c>
      <c r="E170" t="s">
        <v>4</v>
      </c>
      <c r="F170">
        <f t="shared" si="2"/>
        <v>0.52631578947368418</v>
      </c>
    </row>
    <row r="171" spans="1:6" x14ac:dyDescent="0.25">
      <c r="A171" t="s">
        <v>251</v>
      </c>
      <c r="B171">
        <v>60</v>
      </c>
      <c r="C171">
        <v>42</v>
      </c>
      <c r="D171" t="s">
        <v>3</v>
      </c>
      <c r="E171" t="s">
        <v>4</v>
      </c>
      <c r="F171">
        <f t="shared" si="2"/>
        <v>0.35294117647058826</v>
      </c>
    </row>
    <row r="172" spans="1:6" x14ac:dyDescent="0.25">
      <c r="A172" t="s">
        <v>262</v>
      </c>
      <c r="B172">
        <v>67</v>
      </c>
      <c r="C172">
        <v>42</v>
      </c>
      <c r="D172" t="s">
        <v>3</v>
      </c>
      <c r="E172" t="s">
        <v>4</v>
      </c>
      <c r="F172">
        <f t="shared" si="2"/>
        <v>0.45871559633027525</v>
      </c>
    </row>
    <row r="173" spans="1:6" x14ac:dyDescent="0.25">
      <c r="A173" t="s">
        <v>269</v>
      </c>
      <c r="B173">
        <v>68</v>
      </c>
      <c r="C173">
        <v>42</v>
      </c>
      <c r="D173" t="s">
        <v>3</v>
      </c>
      <c r="E173" t="s">
        <v>4</v>
      </c>
      <c r="F173">
        <f t="shared" si="2"/>
        <v>0.47272727272727272</v>
      </c>
    </row>
    <row r="174" spans="1:6" x14ac:dyDescent="0.25">
      <c r="A174" t="s">
        <v>274</v>
      </c>
      <c r="B174">
        <v>72</v>
      </c>
      <c r="C174">
        <v>43</v>
      </c>
      <c r="D174" t="s">
        <v>3</v>
      </c>
      <c r="E174" t="s">
        <v>4</v>
      </c>
      <c r="F174">
        <f t="shared" si="2"/>
        <v>0.5043478260869565</v>
      </c>
    </row>
    <row r="175" spans="1:6" x14ac:dyDescent="0.25">
      <c r="A175" t="s">
        <v>277</v>
      </c>
      <c r="B175">
        <v>64</v>
      </c>
      <c r="C175">
        <v>82</v>
      </c>
      <c r="D175" t="s">
        <v>3</v>
      </c>
      <c r="E175" t="s">
        <v>5</v>
      </c>
      <c r="F175">
        <f t="shared" si="2"/>
        <v>0.24657534246575341</v>
      </c>
    </row>
    <row r="176" spans="1:6" x14ac:dyDescent="0.25">
      <c r="A176" t="s">
        <v>284</v>
      </c>
      <c r="B176">
        <v>40</v>
      </c>
      <c r="C176">
        <v>42</v>
      </c>
      <c r="D176" t="s">
        <v>3</v>
      </c>
      <c r="E176" t="s">
        <v>5</v>
      </c>
      <c r="F176">
        <f t="shared" si="2"/>
        <v>4.878048780487805E-2</v>
      </c>
    </row>
    <row r="177" spans="1:6" x14ac:dyDescent="0.25">
      <c r="A177" t="s">
        <v>285</v>
      </c>
      <c r="B177">
        <v>98</v>
      </c>
      <c r="C177">
        <v>85</v>
      </c>
      <c r="D177" t="s">
        <v>3</v>
      </c>
      <c r="E177" t="s">
        <v>4</v>
      </c>
      <c r="F177">
        <f t="shared" si="2"/>
        <v>0.14207650273224043</v>
      </c>
    </row>
    <row r="178" spans="1:6" x14ac:dyDescent="0.25">
      <c r="A178" t="s">
        <v>290</v>
      </c>
      <c r="B178">
        <v>60</v>
      </c>
      <c r="C178">
        <v>42</v>
      </c>
      <c r="D178" t="s">
        <v>3</v>
      </c>
      <c r="E178" t="s">
        <v>4</v>
      </c>
      <c r="F178">
        <f t="shared" si="2"/>
        <v>0.35294117647058826</v>
      </c>
    </row>
    <row r="179" spans="1:6" x14ac:dyDescent="0.25">
      <c r="A179" t="s">
        <v>291</v>
      </c>
      <c r="B179">
        <v>40</v>
      </c>
      <c r="C179">
        <v>42</v>
      </c>
      <c r="D179" t="s">
        <v>3</v>
      </c>
      <c r="E179" t="s">
        <v>5</v>
      </c>
      <c r="F179">
        <f t="shared" si="2"/>
        <v>4.878048780487805E-2</v>
      </c>
    </row>
    <row r="180" spans="1:6" x14ac:dyDescent="0.25">
      <c r="A180" t="s">
        <v>292</v>
      </c>
      <c r="B180">
        <v>92</v>
      </c>
      <c r="C180">
        <v>82</v>
      </c>
      <c r="D180" t="s">
        <v>3</v>
      </c>
      <c r="E180" t="s">
        <v>4</v>
      </c>
      <c r="F180">
        <f t="shared" si="2"/>
        <v>0.11494252873563218</v>
      </c>
    </row>
    <row r="181" spans="1:6" x14ac:dyDescent="0.25">
      <c r="A181" t="s">
        <v>299</v>
      </c>
      <c r="B181">
        <v>72</v>
      </c>
      <c r="C181">
        <v>42</v>
      </c>
      <c r="D181" t="s">
        <v>3</v>
      </c>
      <c r="E181" t="s">
        <v>4</v>
      </c>
      <c r="F181">
        <f t="shared" si="2"/>
        <v>0.52631578947368418</v>
      </c>
    </row>
    <row r="182" spans="1:6" x14ac:dyDescent="0.25">
      <c r="A182" t="s">
        <v>304</v>
      </c>
      <c r="B182">
        <v>67</v>
      </c>
      <c r="C182">
        <v>72</v>
      </c>
      <c r="D182" t="s">
        <v>3</v>
      </c>
      <c r="E182" t="s">
        <v>5</v>
      </c>
      <c r="F182">
        <f t="shared" si="2"/>
        <v>7.1942446043165464E-2</v>
      </c>
    </row>
    <row r="183" spans="1:6" x14ac:dyDescent="0.25">
      <c r="A183" t="s">
        <v>308</v>
      </c>
      <c r="B183">
        <v>40</v>
      </c>
      <c r="C183">
        <v>42</v>
      </c>
      <c r="D183" t="s">
        <v>3</v>
      </c>
      <c r="E183" t="s">
        <v>5</v>
      </c>
      <c r="F183">
        <f t="shared" si="2"/>
        <v>4.878048780487805E-2</v>
      </c>
    </row>
    <row r="184" spans="1:6" x14ac:dyDescent="0.25">
      <c r="A184" t="s">
        <v>310</v>
      </c>
      <c r="B184">
        <v>68</v>
      </c>
      <c r="C184">
        <v>42</v>
      </c>
      <c r="D184" t="s">
        <v>3</v>
      </c>
      <c r="E184" t="s">
        <v>4</v>
      </c>
      <c r="F184">
        <f t="shared" si="2"/>
        <v>0.47272727272727272</v>
      </c>
    </row>
    <row r="185" spans="1:6" x14ac:dyDescent="0.25">
      <c r="A185" t="s">
        <v>315</v>
      </c>
      <c r="B185">
        <v>60</v>
      </c>
      <c r="C185">
        <v>42</v>
      </c>
      <c r="D185" t="s">
        <v>3</v>
      </c>
      <c r="E185" t="s">
        <v>4</v>
      </c>
      <c r="F185">
        <f t="shared" si="2"/>
        <v>0.35294117647058826</v>
      </c>
    </row>
    <row r="186" spans="1:6" x14ac:dyDescent="0.25">
      <c r="A186" t="s">
        <v>316</v>
      </c>
      <c r="B186">
        <v>60</v>
      </c>
      <c r="C186">
        <v>42</v>
      </c>
      <c r="D186" t="s">
        <v>3</v>
      </c>
      <c r="E186" t="s">
        <v>4</v>
      </c>
      <c r="F186">
        <f t="shared" si="2"/>
        <v>0.35294117647058826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2026-04-29T06:22:02Z</dcterms:modified>
</cp:coreProperties>
</file>