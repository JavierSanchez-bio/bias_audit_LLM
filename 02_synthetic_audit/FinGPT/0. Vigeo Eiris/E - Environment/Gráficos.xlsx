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E - Environment\"/>
    </mc:Choice>
  </mc:AlternateContent>
  <xr:revisionPtr revIDLastSave="0" documentId="13_ncr:1_{4C97E576-E994-4C63-B8AE-08ACBF4377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4" i="2" l="1"/>
  <c r="W13" i="2"/>
  <c r="W12" i="2"/>
  <c r="W11" i="2"/>
  <c r="W10" i="2"/>
  <c r="W9" i="2"/>
  <c r="W8" i="2"/>
  <c r="W7" i="2"/>
  <c r="W6" i="2"/>
  <c r="W5" i="2"/>
  <c r="W4" i="2"/>
  <c r="W3" i="2"/>
  <c r="T11" i="2"/>
  <c r="T9" i="2" l="1"/>
  <c r="T7" i="2"/>
  <c r="T5" i="2"/>
  <c r="T3" i="2" l="1"/>
  <c r="T13" i="2"/>
  <c r="O9" i="1" l="1"/>
  <c r="A9" i="2" s="1"/>
  <c r="O8" i="1"/>
  <c r="O7" i="1"/>
  <c r="A5" i="2" s="1"/>
  <c r="O6" i="1"/>
  <c r="O11" i="1"/>
  <c r="O10" i="1"/>
  <c r="A11" i="2" s="1"/>
  <c r="O31" i="1"/>
  <c r="O30" i="1"/>
  <c r="O29" i="1"/>
  <c r="O28" i="1"/>
  <c r="O27" i="1"/>
  <c r="O32" i="1"/>
  <c r="D36" i="2"/>
  <c r="D35" i="2"/>
  <c r="D34" i="2"/>
  <c r="D33" i="2"/>
  <c r="D32" i="2"/>
  <c r="D31" i="2"/>
  <c r="F4" i="2"/>
  <c r="D14" i="2"/>
  <c r="D13" i="2"/>
  <c r="D12" i="2"/>
  <c r="D11" i="2"/>
  <c r="D10" i="2"/>
  <c r="D9" i="2"/>
  <c r="F10" i="2" s="1"/>
  <c r="D8" i="2"/>
  <c r="D7" i="2"/>
  <c r="D6" i="2"/>
  <c r="F6" i="2"/>
  <c r="F8" i="2"/>
  <c r="D5" i="2"/>
  <c r="D4" i="2"/>
  <c r="D30" i="2" s="1"/>
  <c r="D3" i="2"/>
  <c r="D29" i="2" s="1"/>
  <c r="A13" i="2"/>
  <c r="F12" i="2" l="1"/>
  <c r="D37" i="2" s="1"/>
  <c r="F14" i="2"/>
  <c r="D40" i="2" s="1"/>
  <c r="A3" i="2"/>
  <c r="A7" i="2"/>
  <c r="D38" i="2" l="1"/>
  <c r="D39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<sst xmlns="http://schemas.openxmlformats.org/spreadsheetml/2006/main" count="74" uniqueCount="23">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</sst>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0.15196718020077468</c:v>
                </c:pt>
                <c:pt idx="1">
                  <c:v>0.19644239493115759</c:v>
                </c:pt>
                <c:pt idx="2">
                  <c:v>0.16199274100323574</c:v>
                </c:pt>
                <c:pt idx="3">
                  <c:v>0.22637945041101221</c:v>
                </c:pt>
                <c:pt idx="4">
                  <c:v>0.20206059378668986</c:v>
                </c:pt>
                <c:pt idx="5">
                  <c:v>0.23280539197032182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D-4B94-8F8A-73E8E112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29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17</c:v>
                </c:pt>
                <c:pt idx="7">
                  <c:v>3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0.93548387096774188</c:v>
                </c:pt>
                <c:pt idx="3">
                  <c:v>6.4516129032258063E-2</c:v>
                </c:pt>
                <c:pt idx="4">
                  <c:v>0.22222222222222221</c:v>
                </c:pt>
                <c:pt idx="5">
                  <c:v>0.77777777777777779</c:v>
                </c:pt>
                <c:pt idx="6">
                  <c:v>0.85</c:v>
                </c:pt>
                <c:pt idx="7">
                  <c:v>0.15</c:v>
                </c:pt>
                <c:pt idx="8">
                  <c:v>0.53333333333333333</c:v>
                </c:pt>
                <c:pt idx="9">
                  <c:v>0.46666666666666667</c:v>
                </c:pt>
                <c:pt idx="10">
                  <c:v>0.5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9-4249-B4C2-44756377E7C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9-4249-B4C2-44756377E7C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9-4249-B4C2-44756377E7C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C9-4249-B4C2-44756377E7C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C9-4249-B4C2-44756377E7C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C9-4249-B4C2-44756377E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0.14731994271048285</c:v>
                </c:pt>
                <c:pt idx="1">
                  <c:v>0.16358527392650424</c:v>
                </c:pt>
                <c:pt idx="2">
                  <c:v>0.20417061920011206</c:v>
                </c:pt>
                <c:pt idx="3">
                  <c:v>0.1037037037037037</c:v>
                </c:pt>
                <c:pt idx="4">
                  <c:v>0.20568974771873325</c:v>
                </c:pt>
                <c:pt idx="5">
                  <c:v>9.6447230929989552E-2</c:v>
                </c:pt>
                <c:pt idx="6">
                  <c:v>0.26612106609588454</c:v>
                </c:pt>
                <c:pt idx="7">
                  <c:v>0.15484454217824201</c:v>
                </c:pt>
                <c:pt idx="8">
                  <c:v>0.23107067975148327</c:v>
                </c:pt>
                <c:pt idx="9">
                  <c:v>0.16890620982692592</c:v>
                </c:pt>
                <c:pt idx="10">
                  <c:v>0.24673353763943329</c:v>
                </c:pt>
                <c:pt idx="11">
                  <c:v>0.21887724630121039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C9-4249-B4C2-44756377E7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Vigeo Eiris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13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6F7-4F49-854C-0CD6C240E8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0.23122054546450452</c:v>
                </c:pt>
                <c:pt idx="1">
                  <c:v>0.160751308925489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B-4E19-AA39-2173518C23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5010591"/>
        <c:axId val="1165027391"/>
      </c:barChart>
      <c:catAx>
        <c:axId val="11650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027391"/>
        <c:crosses val="autoZero"/>
        <c:auto val="1"/>
        <c:lblAlgn val="ctr"/>
        <c:lblOffset val="100"/>
        <c:noMultiLvlLbl val="0"/>
      </c:catAx>
      <c:valAx>
        <c:axId val="1165027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16501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24848</xdr:colOff>
      <xdr:row>22</xdr:row>
      <xdr:rowOff>33130</xdr:rowOff>
    </xdr:from>
    <xdr:to>
      <xdr:col>12</xdr:col>
      <xdr:colOff>348697</xdr:colOff>
      <xdr:row>40</xdr:row>
      <xdr:rowOff>118648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15AD6A2-6519-4A24-A7FF-E8A0AC7E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557212</xdr:colOff>
      <xdr:row>0</xdr:row>
      <xdr:rowOff>90486</xdr:rowOff>
    </xdr:from>
    <xdr:to>
      <xdr:col>17</xdr:col>
      <xdr:colOff>342900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25</xdr:row>
      <xdr:rowOff>66675</xdr:rowOff>
    </xdr:from>
    <xdr:to>
      <xdr:col>17</xdr:col>
      <xdr:colOff>338138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247650</xdr:colOff>
      <xdr:row>15</xdr:row>
      <xdr:rowOff>104775</xdr:rowOff>
    </xdr:from>
    <xdr:to>
      <xdr:col>29</xdr:col>
      <xdr:colOff>33338</xdr:colOff>
      <xdr:row>39</xdr:row>
      <xdr:rowOff>33338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1830AD0-A561-4CAE-BBB0-7127704E9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347662</xdr:colOff>
      <xdr:row>2</xdr:row>
      <xdr:rowOff>23811</xdr:rowOff>
    </xdr:from>
    <xdr:to>
      <xdr:col>19</xdr:col>
      <xdr:colOff>352425</xdr:colOff>
      <xdr:row>19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9C0963-190C-A90C-0DBA-75BF95707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FinGPT_Runpod\0.%20Vigeo%20Eiris\E%20-%20Environment\E_religion.xlsx" TargetMode="External"/><Relationship Id="rId1" Type="http://schemas.openxmlformats.org/officeDocument/2006/relationships/externalLinkPath" Target="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Vigeo%20Eiris%20(Moody_s)/E%20-%20Environment/E_religion_genre.xlsx" TargetMode="External"/><Relationship Id="rId2" Type="http://schemas.openxmlformats.org/officeDocument/2006/relationships/externalLinkPath" Target="file:///C:\Users\javie\Desktop\TFM\LLM_bias\ESG_detect_bias\Vigeo%20Eiris%20(Moody's)\E%20-%20Environment\E_religion_genre.xlsx" TargetMode="External"/><Relationship Id="rId1" Type="http://schemas.openxmlformats.org/officeDocument/2006/relationships/externalLinkPath" Target="/Users/jsanchez/Downloads/TFM%20Graficar/Graficar/0.%20Vigeo%20Eiris%20(Moody_s)/E%20-%20Environment/E_religion_genr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Vigeo%20Eiris%20(Moody_s)/E%20-%20Environment/E_genre.xlsx" TargetMode="External"/><Relationship Id="rId2" Type="http://schemas.openxmlformats.org/officeDocument/2006/relationships/externalLinkPath" Target="file:///C:\Users\javie\Desktop\TFM\LLM_bias\ESG_detect_bias\Vigeo%20Eiris%20(Moody's)\E%20-%20Environment\E_genre.xlsx" TargetMode="External"/><Relationship Id="rId1" Type="http://schemas.openxmlformats.org/officeDocument/2006/relationships/externalLinkPath" Target="/Users/jsanchez/Downloads/TFM%20Graficar/Graficar/0.%20Vigeo%20Eiris%20(Moody_s)/E%20-%20Environment/E_genre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Vigeo%20Eiris%20(Moody_s)/E%20-%20Environment/E_age_genre.xlsx" TargetMode="External"/><Relationship Id="rId2" Type="http://schemas.openxmlformats.org/officeDocument/2006/relationships/externalLinkPath" Target="file:///C:\Users\javie\Desktop\TFM\LLM_bias\ESG_detect_bias\Vigeo%20Eiris%20(Moody's)\E%20-%20Environment\E_age_genre.xlsx" TargetMode="External"/><Relationship Id="rId1" Type="http://schemas.openxmlformats.org/officeDocument/2006/relationships/externalLinkPath" Target="/Users/jsanchez/Downloads/TFM%20Graficar/Graficar/0.%20Vigeo%20Eiris%20(Moody_s)/E%20-%20Environment/E_age_genr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FinGPT_Runpod\0.%20Vigeo%20Eiris\E%20-%20Environment\E_age.xlsx" TargetMode="External"/><Relationship Id="rId1" Type="http://schemas.openxmlformats.org/officeDocument/2006/relationships/externalLinkPath" Target="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FinGPT_Runpod\0.%20Vigeo%20Eiris\E%20-%20Environment\E_age_religion.xlsx" TargetMode="External"/><Relationship Id="rId1" Type="http://schemas.openxmlformats.org/officeDocument/2006/relationships/externalLinkPath" Target="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E%20-%20Environment\E_full.xlsx" TargetMode="External"/><Relationship Id="rId1" Type="http://schemas.openxmlformats.org/officeDocument/2006/relationships/externalLinkPath" Target="E_ful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FinGPT_Runpod\0.%20Vigeo%20Eiris\E%20-%20Environment\E_religion_gender.xlsx" TargetMode="External"/><Relationship Id="rId1" Type="http://schemas.openxmlformats.org/officeDocument/2006/relationships/externalLinkPath" Target="E_religion_gend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_gend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_age_gen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0.15196718020077468</v>
          </cell>
        </row>
        <row r="7">
          <cell r="H7" t="str">
            <v>Muslim</v>
          </cell>
        </row>
        <row r="8">
          <cell r="K8">
            <v>0.14731994271048285</v>
          </cell>
        </row>
        <row r="9">
          <cell r="H9" t="str">
            <v>Christian</v>
          </cell>
        </row>
        <row r="10">
          <cell r="K10">
            <v>0.16358527392650424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 refreshError="1"/>
      <sheetData sheetId="1" refreshError="1">
        <row r="5">
          <cell r="H5">
            <v>31</v>
          </cell>
        </row>
        <row r="8">
          <cell r="H8">
            <v>29</v>
          </cell>
        </row>
        <row r="10">
          <cell r="H10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 refreshError="1"/>
      <sheetData sheetId="1" refreshError="1">
        <row r="5">
          <cell r="H5">
            <v>9</v>
          </cell>
        </row>
        <row r="8">
          <cell r="H8">
            <v>2</v>
          </cell>
        </row>
        <row r="10">
          <cell r="H10">
            <v>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 refreshError="1"/>
      <sheetData sheetId="1" refreshError="1">
        <row r="5">
          <cell r="H5">
            <v>20</v>
          </cell>
        </row>
        <row r="8">
          <cell r="H8">
            <v>17</v>
          </cell>
        </row>
        <row r="10">
          <cell r="H10">
            <v>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15</v>
          </cell>
          <cell r="N5">
            <v>0.20206059378668986</v>
          </cell>
        </row>
        <row r="8">
          <cell r="H8">
            <v>8</v>
          </cell>
          <cell r="K8">
            <v>0.23107067975148327</v>
          </cell>
        </row>
        <row r="10">
          <cell r="H10">
            <v>7</v>
          </cell>
          <cell r="K10">
            <v>0.16890620982692592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12</v>
          </cell>
          <cell r="N5">
            <v>0.23280539197032182</v>
          </cell>
        </row>
        <row r="8">
          <cell r="H8">
            <v>6</v>
          </cell>
          <cell r="K8">
            <v>0.24673353763943329</v>
          </cell>
        </row>
        <row r="10">
          <cell r="H10">
            <v>6</v>
          </cell>
          <cell r="K10">
            <v>0.21887724630121039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17</v>
          </cell>
          <cell r="N5">
            <v>0.21463954863179496</v>
          </cell>
        </row>
        <row r="8">
          <cell r="H8">
            <v>13</v>
          </cell>
          <cell r="K8">
            <v>0.23122054546450452</v>
          </cell>
        </row>
        <row r="10">
          <cell r="H10">
            <v>4</v>
          </cell>
          <cell r="K10">
            <v>0.160751308925489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13</v>
          </cell>
          <cell r="N5">
            <v>0.19644239493115759</v>
          </cell>
        </row>
        <row r="8">
          <cell r="K8">
            <v>0.20417061920011206</v>
          </cell>
        </row>
        <row r="10">
          <cell r="K10">
            <v>0.1037037037037037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10</v>
          </cell>
          <cell r="N5">
            <v>0.16199274100323574</v>
          </cell>
        </row>
        <row r="8">
          <cell r="K8">
            <v>0.20568974771873325</v>
          </cell>
        </row>
        <row r="10">
          <cell r="K10">
            <v>9.6447230929989552E-2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0.22637945041101221</v>
          </cell>
        </row>
        <row r="8">
          <cell r="K8">
            <v>0.26612106609588454</v>
          </cell>
        </row>
        <row r="10">
          <cell r="K10">
            <v>0.15484454217824201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O11" sqref="O11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14</v>
      </c>
    </row>
    <row r="7" spans="14:15" x14ac:dyDescent="0.25">
      <c r="N7" t="s">
        <v>19</v>
      </c>
      <c r="O7">
        <f>[8]Sheet1!$H$5</f>
        <v>13</v>
      </c>
    </row>
    <row r="8" spans="14:15" x14ac:dyDescent="0.25">
      <c r="N8" t="s">
        <v>20</v>
      </c>
      <c r="O8">
        <f>[9]Sheet1!$H$5</f>
        <v>10</v>
      </c>
    </row>
    <row r="9" spans="14:15" x14ac:dyDescent="0.25">
      <c r="N9" t="s">
        <v>18</v>
      </c>
      <c r="O9">
        <f>[10]Sheet1!$H$5</f>
        <v>14</v>
      </c>
    </row>
    <row r="10" spans="14:15" x14ac:dyDescent="0.25">
      <c r="N10" t="s">
        <v>1</v>
      </c>
      <c r="O10">
        <f>[5]Sheet1!$H$5</f>
        <v>15</v>
      </c>
    </row>
    <row r="11" spans="14:15" x14ac:dyDescent="0.25">
      <c r="N11" t="s">
        <v>2</v>
      </c>
      <c r="O11">
        <f>[6]Sheet1!$H$5</f>
        <v>12</v>
      </c>
    </row>
    <row r="27" spans="14:15" x14ac:dyDescent="0.25">
      <c r="N27" t="s">
        <v>0</v>
      </c>
      <c r="O27" s="1">
        <f>'Vigeo Individual'!T3</f>
        <v>0.15196718020077468</v>
      </c>
    </row>
    <row r="28" spans="14:15" x14ac:dyDescent="0.25">
      <c r="N28" t="s">
        <v>19</v>
      </c>
      <c r="O28" s="1">
        <f>'Vigeo Individual'!T5</f>
        <v>0.19644239493115759</v>
      </c>
    </row>
    <row r="29" spans="14:15" x14ac:dyDescent="0.25">
      <c r="N29" t="s">
        <v>20</v>
      </c>
      <c r="O29" s="1">
        <f>'Vigeo Individual'!T7</f>
        <v>0.16199274100323574</v>
      </c>
    </row>
    <row r="30" spans="14:15" x14ac:dyDescent="0.25">
      <c r="N30" t="s">
        <v>18</v>
      </c>
      <c r="O30" s="1">
        <f>'Vigeo Individual'!T9</f>
        <v>0.22637945041101221</v>
      </c>
    </row>
    <row r="31" spans="14:15" x14ac:dyDescent="0.25">
      <c r="N31" t="s">
        <v>1</v>
      </c>
      <c r="O31" s="1">
        <f>'Vigeo Individual'!T11</f>
        <v>0.20206059378668986</v>
      </c>
    </row>
    <row r="32" spans="14:15" x14ac:dyDescent="0.25">
      <c r="N32" t="s">
        <v>2</v>
      </c>
      <c r="O32" s="1">
        <f>'Vigeo Individual'!T13</f>
        <v>0.23280539197032182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abSelected="1" topLeftCell="E1" zoomScale="85" zoomScaleNormal="85" workbookViewId="0">
      <selection activeCell="AC7" sqref="AC7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6" bestFit="1" customWidth="1"/>
    <col min="22" max="22" width="17.140625" bestFit="1" customWidth="1"/>
  </cols>
  <sheetData>
    <row r="3" spans="1:23" x14ac:dyDescent="0.25">
      <c r="A3">
        <f>'Vigeo Araña'!O6</f>
        <v>14</v>
      </c>
      <c r="B3" t="s">
        <v>0</v>
      </c>
      <c r="C3" t="s">
        <v>4</v>
      </c>
      <c r="D3" t="str">
        <f>[1]Sheet1!$H$7</f>
        <v>Muslim</v>
      </c>
      <c r="T3" s="2">
        <f>[1]Sheet1!$N$5</f>
        <v>0.15196718020077468</v>
      </c>
      <c r="U3" t="s">
        <v>0</v>
      </c>
      <c r="V3" t="s">
        <v>4</v>
      </c>
      <c r="W3" s="2">
        <f>[1]Sheet1!$K$8</f>
        <v>0.14731994271048285</v>
      </c>
    </row>
    <row r="4" spans="1:23" x14ac:dyDescent="0.25">
      <c r="C4" t="s">
        <v>3</v>
      </c>
      <c r="D4" t="str">
        <f>[1]Sheet1!$H$9</f>
        <v>Christian</v>
      </c>
      <c r="F4">
        <f>SUM(D3:D4)</f>
        <v>0</v>
      </c>
      <c r="T4" s="2"/>
      <c r="V4" t="s">
        <v>3</v>
      </c>
      <c r="W4" s="2">
        <f>[1]Sheet1!$K$10</f>
        <v>0.16358527392650424</v>
      </c>
    </row>
    <row r="5" spans="1:23" x14ac:dyDescent="0.25">
      <c r="A5">
        <f>'Vigeo Araña'!O7</f>
        <v>13</v>
      </c>
      <c r="B5" t="s">
        <v>19</v>
      </c>
      <c r="C5" t="s">
        <v>6</v>
      </c>
      <c r="D5">
        <f>[2]Sheet1!$H$8</f>
        <v>29</v>
      </c>
      <c r="T5" s="2">
        <f>[8]Sheet1!$N$5</f>
        <v>0.19644239493115759</v>
      </c>
      <c r="U5" t="s">
        <v>19</v>
      </c>
      <c r="V5" t="s">
        <v>6</v>
      </c>
      <c r="W5" s="2">
        <f>[8]Sheet1!$K$8</f>
        <v>0.20417061920011206</v>
      </c>
    </row>
    <row r="6" spans="1:23" x14ac:dyDescent="0.25">
      <c r="C6" t="s">
        <v>5</v>
      </c>
      <c r="D6">
        <f>[2]Sheet1!$H$10</f>
        <v>2</v>
      </c>
      <c r="F6">
        <f>SUM(D5:D6)</f>
        <v>31</v>
      </c>
      <c r="T6" s="2"/>
      <c r="V6" t="s">
        <v>5</v>
      </c>
      <c r="W6" s="2">
        <f>[8]Sheet1!$K$10</f>
        <v>0.1037037037037037</v>
      </c>
    </row>
    <row r="7" spans="1:23" x14ac:dyDescent="0.25">
      <c r="A7">
        <f>'Vigeo Araña'!O8</f>
        <v>10</v>
      </c>
      <c r="B7" t="s">
        <v>20</v>
      </c>
      <c r="C7" t="s">
        <v>7</v>
      </c>
      <c r="D7">
        <f>[3]Sheet1!$H$8</f>
        <v>2</v>
      </c>
      <c r="T7" s="2">
        <f>[9]Sheet1!$N$5</f>
        <v>0.16199274100323574</v>
      </c>
      <c r="U7" t="s">
        <v>20</v>
      </c>
      <c r="V7" t="s">
        <v>7</v>
      </c>
      <c r="W7" s="2">
        <f>[9]Sheet1!$K$8</f>
        <v>0.20568974771873325</v>
      </c>
    </row>
    <row r="8" spans="1:23" x14ac:dyDescent="0.25">
      <c r="C8" t="s">
        <v>8</v>
      </c>
      <c r="D8">
        <f>[3]Sheet1!$H$10</f>
        <v>7</v>
      </c>
      <c r="F8">
        <f t="shared" ref="F8" si="0">SUM(D7:D8)</f>
        <v>9</v>
      </c>
      <c r="T8" s="2"/>
      <c r="V8" t="s">
        <v>8</v>
      </c>
      <c r="W8" s="2">
        <f>[9]Sheet1!$K$10</f>
        <v>9.6447230929989552E-2</v>
      </c>
    </row>
    <row r="9" spans="1:23" x14ac:dyDescent="0.25">
      <c r="A9">
        <f>'Vigeo Araña'!O9</f>
        <v>14</v>
      </c>
      <c r="B9" t="s">
        <v>18</v>
      </c>
      <c r="C9" t="s">
        <v>9</v>
      </c>
      <c r="D9">
        <f>[4]Sheet1!$H$8</f>
        <v>17</v>
      </c>
      <c r="T9" s="2">
        <f>[10]Sheet1!$N$5</f>
        <v>0.22637945041101221</v>
      </c>
      <c r="U9" t="s">
        <v>18</v>
      </c>
      <c r="V9" t="s">
        <v>9</v>
      </c>
      <c r="W9" s="2">
        <f>[10]Sheet1!$K$8</f>
        <v>0.26612106609588454</v>
      </c>
    </row>
    <row r="10" spans="1:23" x14ac:dyDescent="0.25">
      <c r="C10" t="s">
        <v>10</v>
      </c>
      <c r="D10">
        <f>[4]Sheet1!$H$10</f>
        <v>3</v>
      </c>
      <c r="F10">
        <f t="shared" ref="F10" si="1">SUM(D9:D10)</f>
        <v>20</v>
      </c>
      <c r="T10" s="2"/>
      <c r="V10" t="s">
        <v>10</v>
      </c>
      <c r="W10" s="2">
        <f>[10]Sheet1!$K$10</f>
        <v>0.15484454217824201</v>
      </c>
    </row>
    <row r="11" spans="1:23" x14ac:dyDescent="0.25">
      <c r="A11">
        <f>'Vigeo Araña'!O10</f>
        <v>15</v>
      </c>
      <c r="B11" t="s">
        <v>1</v>
      </c>
      <c r="C11" t="s">
        <v>11</v>
      </c>
      <c r="D11">
        <f>[5]Sheet1!$H$8</f>
        <v>8</v>
      </c>
      <c r="T11" s="2">
        <f>[5]Sheet1!$N$5</f>
        <v>0.20206059378668986</v>
      </c>
      <c r="U11" t="s">
        <v>1</v>
      </c>
      <c r="V11" t="s">
        <v>11</v>
      </c>
      <c r="W11" s="2">
        <f>[5]Sheet1!$K$8</f>
        <v>0.23107067975148327</v>
      </c>
    </row>
    <row r="12" spans="1:23" x14ac:dyDescent="0.25">
      <c r="C12" t="s">
        <v>12</v>
      </c>
      <c r="D12">
        <f>[5]Sheet1!$H$10</f>
        <v>7</v>
      </c>
      <c r="F12">
        <f t="shared" ref="F12" si="2">SUM(D11:D12)</f>
        <v>15</v>
      </c>
      <c r="T12" s="2"/>
      <c r="V12" t="s">
        <v>12</v>
      </c>
      <c r="W12" s="2">
        <f>[5]Sheet1!$K$10</f>
        <v>0.16890620982692592</v>
      </c>
    </row>
    <row r="13" spans="1:23" x14ac:dyDescent="0.25">
      <c r="A13">
        <f>'Vigeo Araña'!O11</f>
        <v>12</v>
      </c>
      <c r="B13" t="s">
        <v>2</v>
      </c>
      <c r="C13" t="s">
        <v>13</v>
      </c>
      <c r="D13">
        <f>[6]Sheet1!$H$8</f>
        <v>6</v>
      </c>
      <c r="T13" s="2">
        <f>[6]Sheet1!$N$5</f>
        <v>0.23280539197032182</v>
      </c>
      <c r="U13" t="s">
        <v>2</v>
      </c>
      <c r="V13" t="s">
        <v>13</v>
      </c>
      <c r="W13" s="2">
        <f>[6]Sheet1!$K$8</f>
        <v>0.24673353763943329</v>
      </c>
    </row>
    <row r="14" spans="1:23" x14ac:dyDescent="0.25">
      <c r="C14" t="s">
        <v>14</v>
      </c>
      <c r="D14">
        <f>[6]Sheet1!$H$10</f>
        <v>6</v>
      </c>
      <c r="F14">
        <f t="shared" ref="F14" si="3">SUM(D13:D14)</f>
        <v>12</v>
      </c>
      <c r="V14" t="s">
        <v>14</v>
      </c>
      <c r="W14" s="2">
        <f>[6]Sheet1!$K$10</f>
        <v>0.21887724630121039</v>
      </c>
    </row>
    <row r="29" spans="2:4" x14ac:dyDescent="0.25">
      <c r="B29" t="s">
        <v>0</v>
      </c>
      <c r="C29" t="s">
        <v>4</v>
      </c>
      <c r="D29" s="1" t="e">
        <f>D3/$F$4</f>
        <v>#VALUE!</v>
      </c>
    </row>
    <row r="30" spans="2:4" x14ac:dyDescent="0.25">
      <c r="C30" t="s">
        <v>3</v>
      </c>
      <c r="D30" s="1" t="e">
        <f t="shared" ref="D30" si="4">D4/$F$4</f>
        <v>#VALUE!</v>
      </c>
    </row>
    <row r="31" spans="2:4" x14ac:dyDescent="0.25">
      <c r="B31" t="s">
        <v>19</v>
      </c>
      <c r="C31" t="s">
        <v>6</v>
      </c>
      <c r="D31" s="1">
        <f>D5/$F$6</f>
        <v>0.93548387096774188</v>
      </c>
    </row>
    <row r="32" spans="2:4" x14ac:dyDescent="0.25">
      <c r="C32" t="s">
        <v>5</v>
      </c>
      <c r="D32" s="1">
        <f>D6/$F$6</f>
        <v>6.4516129032258063E-2</v>
      </c>
    </row>
    <row r="33" spans="2:4" x14ac:dyDescent="0.25">
      <c r="B33" t="s">
        <v>20</v>
      </c>
      <c r="C33" t="s">
        <v>7</v>
      </c>
      <c r="D33" s="1">
        <f>D7/$F$8</f>
        <v>0.22222222222222221</v>
      </c>
    </row>
    <row r="34" spans="2:4" x14ac:dyDescent="0.25">
      <c r="C34" t="s">
        <v>8</v>
      </c>
      <c r="D34" s="1">
        <f>D8/$F$8</f>
        <v>0.77777777777777779</v>
      </c>
    </row>
    <row r="35" spans="2:4" x14ac:dyDescent="0.25">
      <c r="B35" t="s">
        <v>18</v>
      </c>
      <c r="C35" t="s">
        <v>9</v>
      </c>
      <c r="D35" s="1">
        <f>D9/$F$10</f>
        <v>0.85</v>
      </c>
    </row>
    <row r="36" spans="2:4" x14ac:dyDescent="0.25">
      <c r="C36" t="s">
        <v>10</v>
      </c>
      <c r="D36" s="1">
        <f>D10/$F$10</f>
        <v>0.15</v>
      </c>
    </row>
    <row r="37" spans="2:4" x14ac:dyDescent="0.25">
      <c r="B37" t="s">
        <v>1</v>
      </c>
      <c r="C37" t="s">
        <v>11</v>
      </c>
      <c r="D37" s="1">
        <f>D11/$F$12</f>
        <v>0.53333333333333333</v>
      </c>
    </row>
    <row r="38" spans="2:4" x14ac:dyDescent="0.25">
      <c r="C38" t="s">
        <v>12</v>
      </c>
      <c r="D38" s="1">
        <f>D12/$F$12</f>
        <v>0.46666666666666667</v>
      </c>
    </row>
    <row r="39" spans="2:4" x14ac:dyDescent="0.25">
      <c r="B39" t="s">
        <v>2</v>
      </c>
      <c r="C39" t="s">
        <v>13</v>
      </c>
      <c r="D39" s="1">
        <f>D13/$F$14</f>
        <v>0.5</v>
      </c>
    </row>
    <row r="40" spans="2:4" x14ac:dyDescent="0.25">
      <c r="C40" t="s">
        <v>14</v>
      </c>
      <c r="D40" s="1">
        <f>D14/$F$14</f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workbookViewId="0">
      <selection activeCell="C14" sqref="C14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17</v>
      </c>
    </row>
    <row r="4" spans="2:3" x14ac:dyDescent="0.25">
      <c r="B4" t="s">
        <v>15</v>
      </c>
      <c r="C4">
        <f>[7]Sheet1!$H$8</f>
        <v>13</v>
      </c>
    </row>
    <row r="5" spans="2:3" x14ac:dyDescent="0.25">
      <c r="B5" t="s">
        <v>16</v>
      </c>
      <c r="C5">
        <f>[7]Sheet1!$H$10</f>
        <v>4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[7]Sheet1!$N$5</f>
        <v>0.21463954863179496</v>
      </c>
    </row>
    <row r="12" spans="2:3" x14ac:dyDescent="0.25">
      <c r="B12" t="s">
        <v>15</v>
      </c>
      <c r="C12" s="2">
        <f>[7]Sheet1!$K$8</f>
        <v>0.23122054546450452</v>
      </c>
    </row>
    <row r="13" spans="2:3" x14ac:dyDescent="0.25">
      <c r="B13" t="s">
        <v>16</v>
      </c>
      <c r="C13" s="2">
        <f>[7]Sheet1!$K$10</f>
        <v>0.160751308925489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2026-04-29T11:29:38Z</dcterms:modified>
</cp:coreProperties>
</file>