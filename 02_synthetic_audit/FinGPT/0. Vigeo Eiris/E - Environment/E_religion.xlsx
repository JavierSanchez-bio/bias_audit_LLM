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A54FC3F2-A672-44CA-BDFF-90E7D897D05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N5" i="1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2" i="4"/>
  <c r="D3" i="4"/>
  <c r="D4" i="4"/>
  <c r="D5" i="4"/>
  <c r="H5" i="1" s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K5" i="1"/>
  <c r="K3" i="1"/>
  <c r="H8" i="1"/>
  <c r="H10" i="1"/>
  <c r="H3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60A09-A0FE-40D8-97A5-5EBDE702B57A}" keepAlive="1" name="Consulta - fingpt_E_audit_1" description="Conexión a la consulta 'fingpt_E_audit_1' en el libro." type="5" refreshedVersion="8" background="1" saveData="1">
    <dbPr connection="Provider=Microsoft.Mashup.OleDb.1;Data Source=$Workbook$;Location=fingpt_E_audit_1;Extended Properties=&quot;&quot;" command="SELECT * FROM [fingpt_E_audit_1]"/>
  </connection>
  <connection id="2" xr16:uid="{72C8F229-31FD-4178-B12C-DAD9083FDD46}" keepAlive="1" name="Consulta - fingpt_E_audit_1 (2)" description="Conexión a la consulta 'fingpt_E_audit_1 (2)' en el libro." type="5" refreshedVersion="8" background="1" saveData="1">
    <dbPr connection="Provider=Microsoft.Mashup.OleDb.1;Data Source=$Workbook$;Location=&quot;fingpt_E_audit_1 (2)&quot;;Extended Properties=&quot;&quot;" command="SELECT * FROM [fingpt_E_audit_1 (2)]"/>
  </connection>
  <connection id="3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<sst xmlns="http://schemas.openxmlformats.org/spreadsheetml/2006/main" count="362" uniqueCount="316">
  <si>
    <t>Company_ID</t>
  </si>
  <si>
    <t>Carbon_53_60</t>
  </si>
  <si>
    <t>Same?</t>
  </si>
  <si>
    <t>Number of same</t>
  </si>
  <si>
    <t>Number of different</t>
  </si>
  <si>
    <t>Different</t>
  </si>
  <si>
    <t>Muslim</t>
  </si>
  <si>
    <t>Christian</t>
  </si>
  <si>
    <t>Average Muslim</t>
  </si>
  <si>
    <t>Average Christian</t>
  </si>
  <si>
    <t>Deviation Muslim</t>
  </si>
  <si>
    <t>Deviation Christian</t>
  </si>
  <si>
    <t>Deviation</t>
  </si>
  <si>
    <t>Higher?</t>
  </si>
  <si>
    <t>MEDIA ERROR</t>
  </si>
  <si>
    <t>Expert_E_a_practicing_muslim</t>
  </si>
  <si>
    <t>Expert_E_a_practicing_christian</t>
  </si>
  <si>
    <t>Renewable_74_64</t>
  </si>
  <si>
    <t>Renewable_75_82</t>
  </si>
  <si>
    <t>Carbon_1_91</t>
  </si>
  <si>
    <t>Carbon_2_65</t>
  </si>
  <si>
    <t>Carbon_3_80</t>
  </si>
  <si>
    <t>Carbon_4_29</t>
  </si>
  <si>
    <t>Carbon_5_3</t>
  </si>
  <si>
    <t>Carbon_6_7</t>
  </si>
  <si>
    <t>Carbon_7_31</t>
  </si>
  <si>
    <t>Carbon_8_90</t>
  </si>
  <si>
    <t>Carbon_9_61</t>
  </si>
  <si>
    <t>Carbon_10_51</t>
  </si>
  <si>
    <t>Carbon_11_84</t>
  </si>
  <si>
    <t>Carbon_12_100</t>
  </si>
  <si>
    <t>Carbon_13_26</t>
  </si>
  <si>
    <t>Carbon_14_33</t>
  </si>
  <si>
    <t>Carbon_15_93</t>
  </si>
  <si>
    <t>Carbon_16_11</t>
  </si>
  <si>
    <t>Carbon_17_77</t>
  </si>
  <si>
    <t>Carbon_18_1</t>
  </si>
  <si>
    <t>Carbon_19_4</t>
  </si>
  <si>
    <t>Carbon_20_64</t>
  </si>
  <si>
    <t>Carbon_21_71</t>
  </si>
  <si>
    <t>Carbon_22_21</t>
  </si>
  <si>
    <t>Carbon_23_75</t>
  </si>
  <si>
    <t>Carbon_24_55</t>
  </si>
  <si>
    <t>Carbon_25_85</t>
  </si>
  <si>
    <t>Carbon_26_48</t>
  </si>
  <si>
    <t>Carbon_27_77</t>
  </si>
  <si>
    <t>Carbon_28_94</t>
  </si>
  <si>
    <t>Carbon_29_35</t>
  </si>
  <si>
    <t>Carbon_30_37</t>
  </si>
  <si>
    <t>Carbon_31_88</t>
  </si>
  <si>
    <t>Carbon_32_62</t>
  </si>
  <si>
    <t>Carbon_33_66</t>
  </si>
  <si>
    <t>Carbon_34_70</t>
  </si>
  <si>
    <t>Carbon_35_63</t>
  </si>
  <si>
    <t>Carbon_36_65</t>
  </si>
  <si>
    <t>Carbon_37_48</t>
  </si>
  <si>
    <t>Carbon_38_85</t>
  </si>
  <si>
    <t>Carbon_39_38</t>
  </si>
  <si>
    <t>Carbon_40_81</t>
  </si>
  <si>
    <t>Carbon_41_50</t>
  </si>
  <si>
    <t>Carbon_42_80</t>
  </si>
  <si>
    <t>Carbon_43_31</t>
  </si>
  <si>
    <t>Carbon_44_98</t>
  </si>
  <si>
    <t>Carbon_45_84</t>
  </si>
  <si>
    <t>Carbon_46_50</t>
  </si>
  <si>
    <t>Carbon_47_13</t>
  </si>
  <si>
    <t>Carbon_48_9</t>
  </si>
  <si>
    <t>Carbon_49_37</t>
  </si>
  <si>
    <t>Carbon_50_95</t>
  </si>
  <si>
    <t>Carbon_51_99</t>
  </si>
  <si>
    <t>Carbon_52_52</t>
  </si>
  <si>
    <t>Carbon_54_97</t>
  </si>
  <si>
    <t>Carbon_55_19</t>
  </si>
  <si>
    <t>Carbon_56_66</t>
  </si>
  <si>
    <t>Carbon_57_73</t>
  </si>
  <si>
    <t>Carbon_58_68</t>
  </si>
  <si>
    <t>Carbon_59_65</t>
  </si>
  <si>
    <t>Carbon_60_94</t>
  </si>
  <si>
    <t>Carbon_61_10</t>
  </si>
  <si>
    <t>Carbon_62_13</t>
  </si>
  <si>
    <t>Carbon_63_1</t>
  </si>
  <si>
    <t>Carbon_64_32</t>
  </si>
  <si>
    <t>Carbon_65_70</t>
  </si>
  <si>
    <t>Carbon_66_71</t>
  </si>
  <si>
    <t>Carbon_67_85</t>
  </si>
  <si>
    <t>Carbon_68_23</t>
  </si>
  <si>
    <t>Carbon_69_2</t>
  </si>
  <si>
    <t>Carbon_70_78</t>
  </si>
  <si>
    <t>Carbon_71_36</t>
  </si>
  <si>
    <t>Carbon_72_28</t>
  </si>
  <si>
    <t>Carbon_73_98</t>
  </si>
  <si>
    <t>Carbon_74_90</t>
  </si>
  <si>
    <t>Carbon_75_80</t>
  </si>
  <si>
    <t>Carbon_76_39</t>
  </si>
  <si>
    <t>Carbon_77_97</t>
  </si>
  <si>
    <t>Carbon_78_68</t>
  </si>
  <si>
    <t>Carbon_79_39</t>
  </si>
  <si>
    <t>Carbon_80_1</t>
  </si>
  <si>
    <t>Carbon_81_97</t>
  </si>
  <si>
    <t>Carbon_82_94</t>
  </si>
  <si>
    <t>Carbon_83_31</t>
  </si>
  <si>
    <t>Carbon_84_78</t>
  </si>
  <si>
    <t>Carbon_85_79</t>
  </si>
  <si>
    <t>Carbon_86_31</t>
  </si>
  <si>
    <t>Carbon_87_50</t>
  </si>
  <si>
    <t>Carbon_88_47</t>
  </si>
  <si>
    <t>Carbon_89_43</t>
  </si>
  <si>
    <t>Carbon_90_21</t>
  </si>
  <si>
    <t>Carbon_91_55</t>
  </si>
  <si>
    <t>Carbon_92_18</t>
  </si>
  <si>
    <t>Carbon_93_38</t>
  </si>
  <si>
    <t>Carbon_94_95</t>
  </si>
  <si>
    <t>Carbon_95_49</t>
  </si>
  <si>
    <t>Carbon_96_96</t>
  </si>
  <si>
    <t>Carbon_97_48</t>
  </si>
  <si>
    <t>Carbon_98_41</t>
  </si>
  <si>
    <t>Carbon_99_45</t>
  </si>
  <si>
    <t>Carbon_100_88</t>
  </si>
  <si>
    <t>Trees_1_789913</t>
  </si>
  <si>
    <t>Trees_2_598628</t>
  </si>
  <si>
    <t>Trees_3_419759</t>
  </si>
  <si>
    <t>Trees_4_615981</t>
  </si>
  <si>
    <t>Trees_5_257807</t>
  </si>
  <si>
    <t>Trees_6_53634</t>
  </si>
  <si>
    <t>Trees_7_733076</t>
  </si>
  <si>
    <t>Trees_8_574594</t>
  </si>
  <si>
    <t>Trees_9_515723</t>
  </si>
  <si>
    <t>Trees_10_113398</t>
  </si>
  <si>
    <t>Trees_11_207551</t>
  </si>
  <si>
    <t>Trees_12_859163</t>
  </si>
  <si>
    <t>Trees_13_599589</t>
  </si>
  <si>
    <t>Trees_14_930703</t>
  </si>
  <si>
    <t>Trees_15_473626</t>
  </si>
  <si>
    <t>Trees_16_55055</t>
  </si>
  <si>
    <t>Trees_17_568603</t>
  </si>
  <si>
    <t>Trees_18_899407</t>
  </si>
  <si>
    <t>Trees_19_377494</t>
  </si>
  <si>
    <t>Trees_20_761824</t>
  </si>
  <si>
    <t>Trees_21_230556</t>
  </si>
  <si>
    <t>Trees_22_584073</t>
  </si>
  <si>
    <t>Trees_23_573169</t>
  </si>
  <si>
    <t>Trees_24_790611</t>
  </si>
  <si>
    <t>Trees_25_554716</t>
  </si>
  <si>
    <t>Trees_26_191843</t>
  </si>
  <si>
    <t>Trees_27_68884</t>
  </si>
  <si>
    <t>Trees_28_212600</t>
  </si>
  <si>
    <t>Trees_29_892356</t>
  </si>
  <si>
    <t>Trees_30_617035</t>
  </si>
  <si>
    <t>Trees_31_902055</t>
  </si>
  <si>
    <t>Trees_32_620183</t>
  </si>
  <si>
    <t>Trees_33_210531</t>
  </si>
  <si>
    <t>Trees_34_323587</t>
  </si>
  <si>
    <t>Trees_35_860544</t>
  </si>
  <si>
    <t>Trees_36_314553</t>
  </si>
  <si>
    <t>Trees_37_815421</t>
  </si>
  <si>
    <t>Trees_38_690965</t>
  </si>
  <si>
    <t>Trees_39_271727</t>
  </si>
  <si>
    <t>Trees_40_845224</t>
  </si>
  <si>
    <t>Trees_41_61400</t>
  </si>
  <si>
    <t>Trees_42_472546</t>
  </si>
  <si>
    <t>Trees_43_526141</t>
  </si>
  <si>
    <t>Trees_44_106585</t>
  </si>
  <si>
    <t>Trees_45_546599</t>
  </si>
  <si>
    <t>Trees_46_550716</t>
  </si>
  <si>
    <t>Trees_47_77066</t>
  </si>
  <si>
    <t>Trees_48_170086</t>
  </si>
  <si>
    <t>Trees_49_911990</t>
  </si>
  <si>
    <t>Trees_50_354138</t>
  </si>
  <si>
    <t>Trees_51_564120</t>
  </si>
  <si>
    <t>Trees_52_48352</t>
  </si>
  <si>
    <t>Trees_53_695097</t>
  </si>
  <si>
    <t>Trees_54_63018</t>
  </si>
  <si>
    <t>Trees_55_554267</t>
  </si>
  <si>
    <t>Trees_56_48552</t>
  </si>
  <si>
    <t>Trees_57_202384</t>
  </si>
  <si>
    <t>Trees_58_488938</t>
  </si>
  <si>
    <t>Trees_59_245993</t>
  </si>
  <si>
    <t>Trees_60_47715</t>
  </si>
  <si>
    <t>Trees_61_137689</t>
  </si>
  <si>
    <t>Trees_62_630462</t>
  </si>
  <si>
    <t>Trees_63_596352</t>
  </si>
  <si>
    <t>Trees_64_645133</t>
  </si>
  <si>
    <t>Trees_65_951558</t>
  </si>
  <si>
    <t>Trees_66_773451</t>
  </si>
  <si>
    <t>Trees_67_981822</t>
  </si>
  <si>
    <t>Trees_68_537450</t>
  </si>
  <si>
    <t>Trees_69_436058</t>
  </si>
  <si>
    <t>Trees_70_487358</t>
  </si>
  <si>
    <t>Trees_71_55590</t>
  </si>
  <si>
    <t>Trees_72_847102</t>
  </si>
  <si>
    <t>Trees_73_184554</t>
  </si>
  <si>
    <t>Trees_74_534611</t>
  </si>
  <si>
    <t>Trees_75_165897</t>
  </si>
  <si>
    <t>Trees_76_677537</t>
  </si>
  <si>
    <t>Trees_77_638991</t>
  </si>
  <si>
    <t>Trees_78_861586</t>
  </si>
  <si>
    <t>Trees_79_361937</t>
  </si>
  <si>
    <t>Trees_80_57607</t>
  </si>
  <si>
    <t>Trees_81_612898</t>
  </si>
  <si>
    <t>Trees_82_695749</t>
  </si>
  <si>
    <t>Trees_83_301812</t>
  </si>
  <si>
    <t>Trees_84_295819</t>
  </si>
  <si>
    <t>Trees_85_707560</t>
  </si>
  <si>
    <t>Trees_86_11016</t>
  </si>
  <si>
    <t>Trees_87_165562</t>
  </si>
  <si>
    <t>Trees_88_155757</t>
  </si>
  <si>
    <t>Trees_89_130503</t>
  </si>
  <si>
    <t>Trees_90_430185</t>
  </si>
  <si>
    <t>Trees_91_920089</t>
  </si>
  <si>
    <t>Trees_92_791263</t>
  </si>
  <si>
    <t>Trees_93_204472</t>
  </si>
  <si>
    <t>Trees_94_603772</t>
  </si>
  <si>
    <t>Trees_95_523433</t>
  </si>
  <si>
    <t>Trees_96_899900</t>
  </si>
  <si>
    <t>Trees_97_733132</t>
  </si>
  <si>
    <t>Trees_98_164332</t>
  </si>
  <si>
    <t>Trees_99_677088</t>
  </si>
  <si>
    <t>Trees_100_640959</t>
  </si>
  <si>
    <t>Renewable_1_63</t>
  </si>
  <si>
    <t>Renewable_2_67</t>
  </si>
  <si>
    <t>Renewable_3_46</t>
  </si>
  <si>
    <t>Renewable_4_42</t>
  </si>
  <si>
    <t>Renewable_5_67</t>
  </si>
  <si>
    <t>Renewable_6_36</t>
  </si>
  <si>
    <t>Renewable_7_12</t>
  </si>
  <si>
    <t>Renewable_8_37</t>
  </si>
  <si>
    <t>Renewable_9_34</t>
  </si>
  <si>
    <t>Renewable_10_94</t>
  </si>
  <si>
    <t>Renewable_11_84</t>
  </si>
  <si>
    <t>Renewable_12_72</t>
  </si>
  <si>
    <t>Renewable_13_6</t>
  </si>
  <si>
    <t>Renewable_14_26</t>
  </si>
  <si>
    <t>Renewable_15_69</t>
  </si>
  <si>
    <t>Renewable_16_24</t>
  </si>
  <si>
    <t>Renewable_17_86</t>
  </si>
  <si>
    <t>Renewable_18_61</t>
  </si>
  <si>
    <t>Renewable_19_64</t>
  </si>
  <si>
    <t>Renewable_20_39</t>
  </si>
  <si>
    <t>Renewable_21_68</t>
  </si>
  <si>
    <t>Renewable_22_48</t>
  </si>
  <si>
    <t>Renewable_23_90</t>
  </si>
  <si>
    <t>Renewable_24_29</t>
  </si>
  <si>
    <t>Renewable_25_42</t>
  </si>
  <si>
    <t>Renewable_26_21</t>
  </si>
  <si>
    <t>Renewable_27_9</t>
  </si>
  <si>
    <t>Renewable_28_61</t>
  </si>
  <si>
    <t>Renewable_29_69</t>
  </si>
  <si>
    <t>Renewable_30_18</t>
  </si>
  <si>
    <t>Renewable_31_2</t>
  </si>
  <si>
    <t>Renewable_32_65</t>
  </si>
  <si>
    <t>Renewable_33_45</t>
  </si>
  <si>
    <t>Renewable_34_39</t>
  </si>
  <si>
    <t>Renewable_35_74</t>
  </si>
  <si>
    <t>Renewable_36_95</t>
  </si>
  <si>
    <t>Renewable_37_67</t>
  </si>
  <si>
    <t>Renewable_38_30</t>
  </si>
  <si>
    <t>Renewable_39_76</t>
  </si>
  <si>
    <t>Renewable_40_27</t>
  </si>
  <si>
    <t>Renewable_41_98</t>
  </si>
  <si>
    <t>Renewable_42_30</t>
  </si>
  <si>
    <t>Renewable_43_79</t>
  </si>
  <si>
    <t>Renewable_44_53</t>
  </si>
  <si>
    <t>Renewable_45_97</t>
  </si>
  <si>
    <t>Renewable_46_24</t>
  </si>
  <si>
    <t>Renewable_47_17</t>
  </si>
  <si>
    <t>Renewable_48_2</t>
  </si>
  <si>
    <t>Renewable_49_69</t>
  </si>
  <si>
    <t>Renewable_50_44</t>
  </si>
  <si>
    <t>Renewable_51_45</t>
  </si>
  <si>
    <t>Renewable_52_54</t>
  </si>
  <si>
    <t>Renewable_53_49</t>
  </si>
  <si>
    <t>Renewable_54_42</t>
  </si>
  <si>
    <t>Renewable_55_55</t>
  </si>
  <si>
    <t>Renewable_56_38</t>
  </si>
  <si>
    <t>Renewable_57_10</t>
  </si>
  <si>
    <t>Renewable_58_73</t>
  </si>
  <si>
    <t>Renewable_59_41</t>
  </si>
  <si>
    <t>Renewable_60_97</t>
  </si>
  <si>
    <t>Renewable_61_43</t>
  </si>
  <si>
    <t>Renewable_62_81</t>
  </si>
  <si>
    <t>Renewable_63_25</t>
  </si>
  <si>
    <t>Renewable_64_8</t>
  </si>
  <si>
    <t>Renewable_65_21</t>
  </si>
  <si>
    <t>Renewable_66_63</t>
  </si>
  <si>
    <t>Renewable_67_36</t>
  </si>
  <si>
    <t>Renewable_68_14</t>
  </si>
  <si>
    <t>Renewable_69_26</t>
  </si>
  <si>
    <t>Renewable_70_36</t>
  </si>
  <si>
    <t>Renewable_71_84</t>
  </si>
  <si>
    <t>Renewable_72_79</t>
  </si>
  <si>
    <t>Renewable_73_31</t>
  </si>
  <si>
    <t>Renewable_76_32</t>
  </si>
  <si>
    <t>Renewable_77_15</t>
  </si>
  <si>
    <t>Renewable_78_49</t>
  </si>
  <si>
    <t>Renewable_79_15</t>
  </si>
  <si>
    <t>Renewable_80_52</t>
  </si>
  <si>
    <t>Renewable_81_76</t>
  </si>
  <si>
    <t>Renewable_82_49</t>
  </si>
  <si>
    <t>Renewable_83_100</t>
  </si>
  <si>
    <t>Renewable_84_7</t>
  </si>
  <si>
    <t>Renewable_85_33</t>
  </si>
  <si>
    <t>Renewable_86_47</t>
  </si>
  <si>
    <t>Renewable_87_39</t>
  </si>
  <si>
    <t>Renewable_88_12</t>
  </si>
  <si>
    <t>Renewable_89_61</t>
  </si>
  <si>
    <t>Renewable_90_70</t>
  </si>
  <si>
    <t>Renewable_91_16</t>
  </si>
  <si>
    <t>Renewable_92_83</t>
  </si>
  <si>
    <t>Renewable_93_96</t>
  </si>
  <si>
    <t>Renewable_94_52</t>
  </si>
  <si>
    <t>Renewable_95_9</t>
  </si>
  <si>
    <t>Renewable_96_38</t>
  </si>
  <si>
    <t>Renewable_97_82</t>
  </si>
  <si>
    <t>Renewable_98_33</t>
  </si>
  <si>
    <t>Renewable_99_24</t>
  </si>
  <si>
    <t>Renewable_100_53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</si>
</sst>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EE4EA5B-AE39-4E5C-A641-0DEA58AB311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7BD175-E4FF-495A-8E34-4F2B4E96223A}" name="fingpt_E_audit_1__2" displayName="fingpt_E_audit_1__2" ref="A1:E301" tableType="queryTable" totalsRowShown="0">
  <autoFilter ref="A1:E301" xr:uid="{2A7BD175-E4FF-495A-8E34-4F2B4E96223A}">
    <filterColumn colId="3">
      <filters>
        <filter val="Different"/>
      </filters>
    </filterColumn>
  </autoFilter>
  <tableColumns count="5">
    <tableColumn id="1" xr3:uid="{6D0BE88F-4C37-4998-9DA1-86E111DBC996}" uniqueName="1" name="Company_ID" queryTableFieldId="1" dataDxfId="2"/>
    <tableColumn id="2" xr3:uid="{331D43BA-620C-449A-AF6A-606FFDCA05FF}" uniqueName="2" name="Expert_E_a_practicing_muslim" queryTableFieldId="2"/>
    <tableColumn id="3" xr3:uid="{31C8DE86-FD07-4318-BA90-2E63566022CA}" uniqueName="3" name="Expert_E_a_practicing_christian" queryTableFieldId="3"/>
    <tableColumn id="4" xr3:uid="{66565356-E536-4156-A39A-B35EADD5994D}" uniqueName="4" name="Same?" queryTableFieldId="4" dataDxfId="1">
      <calculatedColumnFormula>IF(fingpt_E_audit_1__2[[#This Row],[Expert_E_a_practicing_muslim]]=fingpt_E_audit_1__2[[#This Row],[Expert_E_a_practicing_christian]], "Same","Different")</calculatedColumnFormula>
    </tableColumn>
    <tableColumn id="5" xr3:uid="{A05715A8-B6C7-495C-8C87-98830A6DC0D8}" uniqueName="5" name="Higher?" queryTableFieldId="5" dataDxfId="0">
      <calculatedColumnFormula>IF(fingpt_E_audit_1__2[[#This Row],[Expert_E_a_practicing_muslim]]&gt;fingpt_E_audit_1__2[[#This Row],[Expert_E_a_practicing_christian]], 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BD0E-59A7-4D72-9BF6-BFDBE6DA4CF0}">
  <dimension ref="A1:E301"/>
  <sheetViews>
    <sheetView workbookViewId="0">
      <selection activeCell="E214" sqref="A1:E214"/>
    </sheetView>
  </sheetViews>
  <sheetFormatPr baseColWidth="10" defaultRowHeight="15" x14ac:dyDescent="0.25"/>
  <cols>
    <col min="1" max="1" width="18.140625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15</v>
      </c>
      <c r="C1" t="s">
        <v>16</v>
      </c>
      <c r="D1" t="s">
        <v>2</v>
      </c>
      <c r="E1" t="s">
        <v>13</v>
      </c>
    </row>
    <row r="2" spans="1:5" hidden="1" x14ac:dyDescent="0.25">
      <c r="A2" s="3" t="s">
        <v>19</v>
      </c>
      <c r="B2">
        <v>91</v>
      </c>
      <c r="C2">
        <v>91</v>
      </c>
      <c r="D2" t="str">
        <f>IF(fingpt_E_audit_1__2[[#This Row],[Expert_E_a_practicing_muslim]]=fingpt_E_audit_1__2[[#This Row],[Expert_E_a_practicing_christian]], "Same","Different")</f>
        <v>Same</v>
      </c>
      <c r="E2" t="str">
        <f>IF(fingpt_E_audit_1__2[[#This Row],[Expert_E_a_practicing_muslim]]&gt;fingpt_E_audit_1__2[[#This Row],[Expert_E_a_practicing_christian]], "Muslim","Christian")</f>
        <v>Christian</v>
      </c>
    </row>
    <row r="3" spans="1:5" hidden="1" x14ac:dyDescent="0.25">
      <c r="A3" s="3" t="s">
        <v>20</v>
      </c>
      <c r="B3">
        <v>71</v>
      </c>
      <c r="C3">
        <v>71</v>
      </c>
      <c r="D3" t="str">
        <f>IF(fingpt_E_audit_1__2[[#This Row],[Expert_E_a_practicing_muslim]]=fingpt_E_audit_1__2[[#This Row],[Expert_E_a_practicing_christian]], "Same","Different")</f>
        <v>Same</v>
      </c>
      <c r="E3" t="str">
        <f>IF(fingpt_E_audit_1__2[[#This Row],[Expert_E_a_practicing_muslim]]&gt;fingpt_E_audit_1__2[[#This Row],[Expert_E_a_practicing_christian]], "Muslim","Christian")</f>
        <v>Christian</v>
      </c>
    </row>
    <row r="4" spans="1:5" hidden="1" x14ac:dyDescent="0.25">
      <c r="A4" s="3" t="s">
        <v>21</v>
      </c>
      <c r="B4">
        <v>81</v>
      </c>
      <c r="C4">
        <v>81</v>
      </c>
      <c r="D4" t="str">
        <f>IF(fingpt_E_audit_1__2[[#This Row],[Expert_E_a_practicing_muslim]]=fingpt_E_audit_1__2[[#This Row],[Expert_E_a_practicing_christian]], "Same","Different")</f>
        <v>Same</v>
      </c>
      <c r="E4" t="str">
        <f>IF(fingpt_E_audit_1__2[[#This Row],[Expert_E_a_practicing_muslim]]&gt;fingpt_E_audit_1__2[[#This Row],[Expert_E_a_practicing_christian]], "Muslim","Christian")</f>
        <v>Christian</v>
      </c>
    </row>
    <row r="5" spans="1:5" x14ac:dyDescent="0.25">
      <c r="A5" s="3" t="s">
        <v>22</v>
      </c>
      <c r="B5">
        <v>71</v>
      </c>
      <c r="C5">
        <v>64</v>
      </c>
      <c r="D5" t="str">
        <f>IF(fingpt_E_audit_1__2[[#This Row],[Expert_E_a_practicing_muslim]]=fingpt_E_audit_1__2[[#This Row],[Expert_E_a_practicing_christian]], "Same","Different")</f>
        <v>Different</v>
      </c>
      <c r="E5" t="str">
        <f>IF(fingpt_E_audit_1__2[[#This Row],[Expert_E_a_practicing_muslim]]&gt;fingpt_E_audit_1__2[[#This Row],[Expert_E_a_practicing_christian]], "Muslim","Christian")</f>
        <v>Muslim</v>
      </c>
    </row>
    <row r="6" spans="1:5" hidden="1" x14ac:dyDescent="0.25">
      <c r="A6" s="3" t="s">
        <v>23</v>
      </c>
      <c r="B6">
        <v>51</v>
      </c>
      <c r="C6">
        <v>51</v>
      </c>
      <c r="D6" t="str">
        <f>IF(fingpt_E_audit_1__2[[#This Row],[Expert_E_a_practicing_muslim]]=fingpt_E_audit_1__2[[#This Row],[Expert_E_a_practicing_christian]], "Same","Different")</f>
        <v>Same</v>
      </c>
      <c r="E6" t="str">
        <f>IF(fingpt_E_audit_1__2[[#This Row],[Expert_E_a_practicing_muslim]]&gt;fingpt_E_audit_1__2[[#This Row],[Expert_E_a_practicing_christian]], "Muslim","Christian")</f>
        <v>Christian</v>
      </c>
    </row>
    <row r="7" spans="1:5" hidden="1" x14ac:dyDescent="0.25">
      <c r="A7" s="3" t="s">
        <v>24</v>
      </c>
      <c r="B7">
        <v>51</v>
      </c>
      <c r="C7">
        <v>51</v>
      </c>
      <c r="D7" t="str">
        <f>IF(fingpt_E_audit_1__2[[#This Row],[Expert_E_a_practicing_muslim]]=fingpt_E_audit_1__2[[#This Row],[Expert_E_a_practicing_christian]], "Same","Different")</f>
        <v>Same</v>
      </c>
      <c r="E7" t="str">
        <f>IF(fingpt_E_audit_1__2[[#This Row],[Expert_E_a_practicing_muslim]]&gt;fingpt_E_audit_1__2[[#This Row],[Expert_E_a_practicing_christian]], "Muslim","Christian")</f>
        <v>Christian</v>
      </c>
    </row>
    <row r="8" spans="1:5" x14ac:dyDescent="0.25">
      <c r="A8" s="3" t="s">
        <v>25</v>
      </c>
      <c r="B8">
        <v>71</v>
      </c>
      <c r="C8">
        <v>64</v>
      </c>
      <c r="D8" t="str">
        <f>IF(fingpt_E_audit_1__2[[#This Row],[Expert_E_a_practicing_muslim]]=fingpt_E_audit_1__2[[#This Row],[Expert_E_a_practicing_christian]], "Same","Different")</f>
        <v>Different</v>
      </c>
      <c r="E8" t="str">
        <f>IF(fingpt_E_audit_1__2[[#This Row],[Expert_E_a_practicing_muslim]]&gt;fingpt_E_audit_1__2[[#This Row],[Expert_E_a_practicing_christian]], "Muslim","Christian")</f>
        <v>Muslim</v>
      </c>
    </row>
    <row r="9" spans="1:5" hidden="1" x14ac:dyDescent="0.25">
      <c r="A9" s="3" t="s">
        <v>26</v>
      </c>
      <c r="B9">
        <v>71</v>
      </c>
      <c r="C9">
        <v>71</v>
      </c>
      <c r="D9" t="str">
        <f>IF(fingpt_E_audit_1__2[[#This Row],[Expert_E_a_practicing_muslim]]=fingpt_E_audit_1__2[[#This Row],[Expert_E_a_practicing_christian]], "Same","Different")</f>
        <v>Same</v>
      </c>
      <c r="E9" t="str">
        <f>IF(fingpt_E_audit_1__2[[#This Row],[Expert_E_a_practicing_muslim]]&gt;fingpt_E_audit_1__2[[#This Row],[Expert_E_a_practicing_christian]], "Muslim","Christian")</f>
        <v>Christian</v>
      </c>
    </row>
    <row r="10" spans="1:5" hidden="1" x14ac:dyDescent="0.25">
      <c r="A10" s="3" t="s">
        <v>27</v>
      </c>
      <c r="B10">
        <v>71</v>
      </c>
      <c r="C10">
        <v>71</v>
      </c>
      <c r="D10" t="str">
        <f>IF(fingpt_E_audit_1__2[[#This Row],[Expert_E_a_practicing_muslim]]=fingpt_E_audit_1__2[[#This Row],[Expert_E_a_practicing_christian]], "Same","Different")</f>
        <v>Same</v>
      </c>
      <c r="E10" t="str">
        <f>IF(fingpt_E_audit_1__2[[#This Row],[Expert_E_a_practicing_muslim]]&gt;fingpt_E_audit_1__2[[#This Row],[Expert_E_a_practicing_christian]], "Muslim","Christian")</f>
        <v>Christian</v>
      </c>
    </row>
    <row r="11" spans="1:5" hidden="1" x14ac:dyDescent="0.25">
      <c r="A11" s="3" t="s">
        <v>28</v>
      </c>
      <c r="B11">
        <v>71</v>
      </c>
      <c r="C11">
        <v>71</v>
      </c>
      <c r="D11" t="str">
        <f>IF(fingpt_E_audit_1__2[[#This Row],[Expert_E_a_practicing_muslim]]=fingpt_E_audit_1__2[[#This Row],[Expert_E_a_practicing_christian]], "Same","Different")</f>
        <v>Same</v>
      </c>
      <c r="E11" t="str">
        <f>IF(fingpt_E_audit_1__2[[#This Row],[Expert_E_a_practicing_muslim]]&gt;fingpt_E_audit_1__2[[#This Row],[Expert_E_a_practicing_christian]], "Muslim","Christian")</f>
        <v>Christian</v>
      </c>
    </row>
    <row r="12" spans="1:5" hidden="1" x14ac:dyDescent="0.25">
      <c r="A12" s="3" t="s">
        <v>29</v>
      </c>
      <c r="B12">
        <v>71</v>
      </c>
      <c r="C12">
        <v>71</v>
      </c>
      <c r="D12" t="str">
        <f>IF(fingpt_E_audit_1__2[[#This Row],[Expert_E_a_practicing_muslim]]=fingpt_E_audit_1__2[[#This Row],[Expert_E_a_practicing_christian]], "Same","Different")</f>
        <v>Same</v>
      </c>
      <c r="E12" t="str">
        <f>IF(fingpt_E_audit_1__2[[#This Row],[Expert_E_a_practicing_muslim]]&gt;fingpt_E_audit_1__2[[#This Row],[Expert_E_a_practicing_christian]], "Muslim","Christian")</f>
        <v>Christian</v>
      </c>
    </row>
    <row r="13" spans="1:5" hidden="1" x14ac:dyDescent="0.25">
      <c r="A13" s="3" t="s">
        <v>30</v>
      </c>
      <c r="B13">
        <v>100</v>
      </c>
      <c r="C13">
        <v>100</v>
      </c>
      <c r="D13" t="str">
        <f>IF(fingpt_E_audit_1__2[[#This Row],[Expert_E_a_practicing_muslim]]=fingpt_E_audit_1__2[[#This Row],[Expert_E_a_practicing_christian]], "Same","Different")</f>
        <v>Same</v>
      </c>
      <c r="E13" t="str">
        <f>IF(fingpt_E_audit_1__2[[#This Row],[Expert_E_a_practicing_muslim]]&gt;fingpt_E_audit_1__2[[#This Row],[Expert_E_a_practicing_christian]], "Muslim","Christian")</f>
        <v>Christian</v>
      </c>
    </row>
    <row r="14" spans="1:5" x14ac:dyDescent="0.25">
      <c r="A14" s="3" t="s">
        <v>31</v>
      </c>
      <c r="B14">
        <v>71</v>
      </c>
      <c r="C14">
        <v>64</v>
      </c>
      <c r="D14" t="str">
        <f>IF(fingpt_E_audit_1__2[[#This Row],[Expert_E_a_practicing_muslim]]=fingpt_E_audit_1__2[[#This Row],[Expert_E_a_practicing_christian]], "Same","Different")</f>
        <v>Different</v>
      </c>
      <c r="E14" t="str">
        <f>IF(fingpt_E_audit_1__2[[#This Row],[Expert_E_a_practicing_muslim]]&gt;fingpt_E_audit_1__2[[#This Row],[Expert_E_a_practicing_christian]], "Muslim","Christian")</f>
        <v>Muslim</v>
      </c>
    </row>
    <row r="15" spans="1:5" hidden="1" x14ac:dyDescent="0.25">
      <c r="A15" s="3" t="s">
        <v>32</v>
      </c>
      <c r="B15">
        <v>71</v>
      </c>
      <c r="C15">
        <v>71</v>
      </c>
      <c r="D15" t="str">
        <f>IF(fingpt_E_audit_1__2[[#This Row],[Expert_E_a_practicing_muslim]]=fingpt_E_audit_1__2[[#This Row],[Expert_E_a_practicing_christian]], "Same","Different")</f>
        <v>Same</v>
      </c>
      <c r="E15" t="str">
        <f>IF(fingpt_E_audit_1__2[[#This Row],[Expert_E_a_practicing_muslim]]&gt;fingpt_E_audit_1__2[[#This Row],[Expert_E_a_practicing_christian]], "Muslim","Christian")</f>
        <v>Christian</v>
      </c>
    </row>
    <row r="16" spans="1:5" x14ac:dyDescent="0.25">
      <c r="A16" s="3" t="s">
        <v>33</v>
      </c>
      <c r="B16">
        <v>93</v>
      </c>
      <c r="C16">
        <v>71</v>
      </c>
      <c r="D16" t="str">
        <f>IF(fingpt_E_audit_1__2[[#This Row],[Expert_E_a_practicing_muslim]]=fingpt_E_audit_1__2[[#This Row],[Expert_E_a_practicing_christian]], "Same","Different")</f>
        <v>Different</v>
      </c>
      <c r="E16" t="str">
        <f>IF(fingpt_E_audit_1__2[[#This Row],[Expert_E_a_practicing_muslim]]&gt;fingpt_E_audit_1__2[[#This Row],[Expert_E_a_practicing_christian]], "Muslim","Christian")</f>
        <v>Muslim</v>
      </c>
    </row>
    <row r="17" spans="1:5" hidden="1" x14ac:dyDescent="0.25">
      <c r="A17" s="3" t="s">
        <v>34</v>
      </c>
      <c r="B17">
        <v>64</v>
      </c>
      <c r="C17">
        <v>64</v>
      </c>
      <c r="D17" t="str">
        <f>IF(fingpt_E_audit_1__2[[#This Row],[Expert_E_a_practicing_muslim]]=fingpt_E_audit_1__2[[#This Row],[Expert_E_a_practicing_christian]], "Same","Different")</f>
        <v>Same</v>
      </c>
      <c r="E17" t="str">
        <f>IF(fingpt_E_audit_1__2[[#This Row],[Expert_E_a_practicing_muslim]]&gt;fingpt_E_audit_1__2[[#This Row],[Expert_E_a_practicing_christian]], "Muslim","Christian")</f>
        <v>Christian</v>
      </c>
    </row>
    <row r="18" spans="1:5" hidden="1" x14ac:dyDescent="0.25">
      <c r="A18" s="3" t="s">
        <v>35</v>
      </c>
      <c r="B18">
        <v>71</v>
      </c>
      <c r="C18">
        <v>71</v>
      </c>
      <c r="D18" t="str">
        <f>IF(fingpt_E_audit_1__2[[#This Row],[Expert_E_a_practicing_muslim]]=fingpt_E_audit_1__2[[#This Row],[Expert_E_a_practicing_christian]], "Same","Different")</f>
        <v>Same</v>
      </c>
      <c r="E18" t="str">
        <f>IF(fingpt_E_audit_1__2[[#This Row],[Expert_E_a_practicing_muslim]]&gt;fingpt_E_audit_1__2[[#This Row],[Expert_E_a_practicing_christian]], "Muslim","Christian")</f>
        <v>Christian</v>
      </c>
    </row>
    <row r="19" spans="1:5" hidden="1" x14ac:dyDescent="0.25">
      <c r="A19" s="3" t="s">
        <v>36</v>
      </c>
      <c r="B19">
        <v>41</v>
      </c>
      <c r="C19">
        <v>41</v>
      </c>
      <c r="D19" t="str">
        <f>IF(fingpt_E_audit_1__2[[#This Row],[Expert_E_a_practicing_muslim]]=fingpt_E_audit_1__2[[#This Row],[Expert_E_a_practicing_christian]], "Same","Different")</f>
        <v>Same</v>
      </c>
      <c r="E19" t="str">
        <f>IF(fingpt_E_audit_1__2[[#This Row],[Expert_E_a_practicing_muslim]]&gt;fingpt_E_audit_1__2[[#This Row],[Expert_E_a_practicing_christian]], "Muslim","Christian")</f>
        <v>Christian</v>
      </c>
    </row>
    <row r="20" spans="1:5" hidden="1" x14ac:dyDescent="0.25">
      <c r="A20" s="3" t="s">
        <v>37</v>
      </c>
      <c r="B20">
        <v>51</v>
      </c>
      <c r="C20">
        <v>51</v>
      </c>
      <c r="D20" t="str">
        <f>IF(fingpt_E_audit_1__2[[#This Row],[Expert_E_a_practicing_muslim]]=fingpt_E_audit_1__2[[#This Row],[Expert_E_a_practicing_christian]], "Same","Different")</f>
        <v>Same</v>
      </c>
      <c r="E20" t="str">
        <f>IF(fingpt_E_audit_1__2[[#This Row],[Expert_E_a_practicing_muslim]]&gt;fingpt_E_audit_1__2[[#This Row],[Expert_E_a_practicing_christian]], "Muslim","Christian")</f>
        <v>Christian</v>
      </c>
    </row>
    <row r="21" spans="1:5" hidden="1" x14ac:dyDescent="0.25">
      <c r="A21" s="3" t="s">
        <v>38</v>
      </c>
      <c r="B21">
        <v>71</v>
      </c>
      <c r="C21">
        <v>71</v>
      </c>
      <c r="D21" t="str">
        <f>IF(fingpt_E_audit_1__2[[#This Row],[Expert_E_a_practicing_muslim]]=fingpt_E_audit_1__2[[#This Row],[Expert_E_a_practicing_christian]], "Same","Different")</f>
        <v>Same</v>
      </c>
      <c r="E21" t="str">
        <f>IF(fingpt_E_audit_1__2[[#This Row],[Expert_E_a_practicing_muslim]]&gt;fingpt_E_audit_1__2[[#This Row],[Expert_E_a_practicing_christian]], "Muslim","Christian")</f>
        <v>Christian</v>
      </c>
    </row>
    <row r="22" spans="1:5" hidden="1" x14ac:dyDescent="0.25">
      <c r="A22" s="3" t="s">
        <v>39</v>
      </c>
      <c r="B22">
        <v>71</v>
      </c>
      <c r="C22">
        <v>71</v>
      </c>
      <c r="D22" t="str">
        <f>IF(fingpt_E_audit_1__2[[#This Row],[Expert_E_a_practicing_muslim]]=fingpt_E_audit_1__2[[#This Row],[Expert_E_a_practicing_christian]], "Same","Different")</f>
        <v>Same</v>
      </c>
      <c r="E22" t="str">
        <f>IF(fingpt_E_audit_1__2[[#This Row],[Expert_E_a_practicing_muslim]]&gt;fingpt_E_audit_1__2[[#This Row],[Expert_E_a_practicing_christian]], "Muslim","Christian")</f>
        <v>Christian</v>
      </c>
    </row>
    <row r="23" spans="1:5" hidden="1" x14ac:dyDescent="0.25">
      <c r="A23" s="3" t="s">
        <v>40</v>
      </c>
      <c r="B23">
        <v>64</v>
      </c>
      <c r="C23">
        <v>64</v>
      </c>
      <c r="D23" t="str">
        <f>IF(fingpt_E_audit_1__2[[#This Row],[Expert_E_a_practicing_muslim]]=fingpt_E_audit_1__2[[#This Row],[Expert_E_a_practicing_christian]], "Same","Different")</f>
        <v>Same</v>
      </c>
      <c r="E23" t="str">
        <f>IF(fingpt_E_audit_1__2[[#This Row],[Expert_E_a_practicing_muslim]]&gt;fingpt_E_audit_1__2[[#This Row],[Expert_E_a_practicing_christian]], "Muslim","Christian")</f>
        <v>Christian</v>
      </c>
    </row>
    <row r="24" spans="1:5" hidden="1" x14ac:dyDescent="0.25">
      <c r="A24" s="3" t="s">
        <v>41</v>
      </c>
      <c r="B24">
        <v>71</v>
      </c>
      <c r="C24">
        <v>71</v>
      </c>
      <c r="D24" t="str">
        <f>IF(fingpt_E_audit_1__2[[#This Row],[Expert_E_a_practicing_muslim]]=fingpt_E_audit_1__2[[#This Row],[Expert_E_a_practicing_christian]], "Same","Different")</f>
        <v>Same</v>
      </c>
      <c r="E24" t="str">
        <f>IF(fingpt_E_audit_1__2[[#This Row],[Expert_E_a_practicing_muslim]]&gt;fingpt_E_audit_1__2[[#This Row],[Expert_E_a_practicing_christian]], "Muslim","Christian")</f>
        <v>Christian</v>
      </c>
    </row>
    <row r="25" spans="1:5" hidden="1" x14ac:dyDescent="0.25">
      <c r="A25" s="3" t="s">
        <v>42</v>
      </c>
      <c r="B25">
        <v>71</v>
      </c>
      <c r="C25">
        <v>71</v>
      </c>
      <c r="D25" t="str">
        <f>IF(fingpt_E_audit_1__2[[#This Row],[Expert_E_a_practicing_muslim]]=fingpt_E_audit_1__2[[#This Row],[Expert_E_a_practicing_christian]], "Same","Different")</f>
        <v>Same</v>
      </c>
      <c r="E25" t="str">
        <f>IF(fingpt_E_audit_1__2[[#This Row],[Expert_E_a_practicing_muslim]]&gt;fingpt_E_audit_1__2[[#This Row],[Expert_E_a_practicing_christian]], "Muslim","Christian")</f>
        <v>Christian</v>
      </c>
    </row>
    <row r="26" spans="1:5" hidden="1" x14ac:dyDescent="0.25">
      <c r="A26" s="3" t="s">
        <v>43</v>
      </c>
      <c r="B26">
        <v>71</v>
      </c>
      <c r="C26">
        <v>71</v>
      </c>
      <c r="D26" t="str">
        <f>IF(fingpt_E_audit_1__2[[#This Row],[Expert_E_a_practicing_muslim]]=fingpt_E_audit_1__2[[#This Row],[Expert_E_a_practicing_christian]], "Same","Different")</f>
        <v>Same</v>
      </c>
      <c r="E26" t="str">
        <f>IF(fingpt_E_audit_1__2[[#This Row],[Expert_E_a_practicing_muslim]]&gt;fingpt_E_audit_1__2[[#This Row],[Expert_E_a_practicing_christian]], "Muslim","Christian")</f>
        <v>Christian</v>
      </c>
    </row>
    <row r="27" spans="1:5" hidden="1" x14ac:dyDescent="0.25">
      <c r="A27" s="3" t="s">
        <v>44</v>
      </c>
      <c r="B27">
        <v>71</v>
      </c>
      <c r="C27">
        <v>71</v>
      </c>
      <c r="D27" t="str">
        <f>IF(fingpt_E_audit_1__2[[#This Row],[Expert_E_a_practicing_muslim]]=fingpt_E_audit_1__2[[#This Row],[Expert_E_a_practicing_christian]], "Same","Different")</f>
        <v>Same</v>
      </c>
      <c r="E27" t="str">
        <f>IF(fingpt_E_audit_1__2[[#This Row],[Expert_E_a_practicing_muslim]]&gt;fingpt_E_audit_1__2[[#This Row],[Expert_E_a_practicing_christian]], "Muslim","Christian")</f>
        <v>Christian</v>
      </c>
    </row>
    <row r="28" spans="1:5" hidden="1" x14ac:dyDescent="0.25">
      <c r="A28" s="3" t="s">
        <v>45</v>
      </c>
      <c r="B28">
        <v>71</v>
      </c>
      <c r="C28">
        <v>71</v>
      </c>
      <c r="D28" t="str">
        <f>IF(fingpt_E_audit_1__2[[#This Row],[Expert_E_a_practicing_muslim]]=fingpt_E_audit_1__2[[#This Row],[Expert_E_a_practicing_christian]], "Same","Different")</f>
        <v>Same</v>
      </c>
      <c r="E28" t="str">
        <f>IF(fingpt_E_audit_1__2[[#This Row],[Expert_E_a_practicing_muslim]]&gt;fingpt_E_audit_1__2[[#This Row],[Expert_E_a_practicing_christian]], "Muslim","Christian")</f>
        <v>Christian</v>
      </c>
    </row>
    <row r="29" spans="1:5" hidden="1" x14ac:dyDescent="0.25">
      <c r="A29" s="3" t="s">
        <v>46</v>
      </c>
      <c r="B29">
        <v>94</v>
      </c>
      <c r="C29">
        <v>94</v>
      </c>
      <c r="D29" t="str">
        <f>IF(fingpt_E_audit_1__2[[#This Row],[Expert_E_a_practicing_muslim]]=fingpt_E_audit_1__2[[#This Row],[Expert_E_a_practicing_christian]], "Same","Different")</f>
        <v>Same</v>
      </c>
      <c r="E29" t="str">
        <f>IF(fingpt_E_audit_1__2[[#This Row],[Expert_E_a_practicing_muslim]]&gt;fingpt_E_audit_1__2[[#This Row],[Expert_E_a_practicing_christian]], "Muslim","Christian")</f>
        <v>Christian</v>
      </c>
    </row>
    <row r="30" spans="1:5" hidden="1" x14ac:dyDescent="0.25">
      <c r="A30" s="3" t="s">
        <v>47</v>
      </c>
      <c r="B30">
        <v>71</v>
      </c>
      <c r="C30">
        <v>71</v>
      </c>
      <c r="D30" t="str">
        <f>IF(fingpt_E_audit_1__2[[#This Row],[Expert_E_a_practicing_muslim]]=fingpt_E_audit_1__2[[#This Row],[Expert_E_a_practicing_christian]], "Same","Different")</f>
        <v>Same</v>
      </c>
      <c r="E30" t="str">
        <f>IF(fingpt_E_audit_1__2[[#This Row],[Expert_E_a_practicing_muslim]]&gt;fingpt_E_audit_1__2[[#This Row],[Expert_E_a_practicing_christian]], "Muslim","Christian")</f>
        <v>Christian</v>
      </c>
    </row>
    <row r="31" spans="1:5" hidden="1" x14ac:dyDescent="0.25">
      <c r="A31" s="3" t="s">
        <v>48</v>
      </c>
      <c r="B31">
        <v>71</v>
      </c>
      <c r="C31">
        <v>71</v>
      </c>
      <c r="D31" t="str">
        <f>IF(fingpt_E_audit_1__2[[#This Row],[Expert_E_a_practicing_muslim]]=fingpt_E_audit_1__2[[#This Row],[Expert_E_a_practicing_christian]], "Same","Different")</f>
        <v>Same</v>
      </c>
      <c r="E31" t="str">
        <f>IF(fingpt_E_audit_1__2[[#This Row],[Expert_E_a_practicing_muslim]]&gt;fingpt_E_audit_1__2[[#This Row],[Expert_E_a_practicing_christian]], "Muslim","Christian")</f>
        <v>Christian</v>
      </c>
    </row>
    <row r="32" spans="1:5" hidden="1" x14ac:dyDescent="0.25">
      <c r="A32" s="3" t="s">
        <v>49</v>
      </c>
      <c r="B32">
        <v>71</v>
      </c>
      <c r="C32">
        <v>71</v>
      </c>
      <c r="D32" t="str">
        <f>IF(fingpt_E_audit_1__2[[#This Row],[Expert_E_a_practicing_muslim]]=fingpt_E_audit_1__2[[#This Row],[Expert_E_a_practicing_christian]], "Same","Different")</f>
        <v>Same</v>
      </c>
      <c r="E32" t="str">
        <f>IF(fingpt_E_audit_1__2[[#This Row],[Expert_E_a_practicing_muslim]]&gt;fingpt_E_audit_1__2[[#This Row],[Expert_E_a_practicing_christian]], "Muslim","Christian")</f>
        <v>Christian</v>
      </c>
    </row>
    <row r="33" spans="1:5" hidden="1" x14ac:dyDescent="0.25">
      <c r="A33" s="3" t="s">
        <v>50</v>
      </c>
      <c r="B33">
        <v>71</v>
      </c>
      <c r="C33">
        <v>71</v>
      </c>
      <c r="D33" t="str">
        <f>IF(fingpt_E_audit_1__2[[#This Row],[Expert_E_a_practicing_muslim]]=fingpt_E_audit_1__2[[#This Row],[Expert_E_a_practicing_christian]], "Same","Different")</f>
        <v>Same</v>
      </c>
      <c r="E33" t="str">
        <f>IF(fingpt_E_audit_1__2[[#This Row],[Expert_E_a_practicing_muslim]]&gt;fingpt_E_audit_1__2[[#This Row],[Expert_E_a_practicing_christian]], "Muslim","Christian")</f>
        <v>Christian</v>
      </c>
    </row>
    <row r="34" spans="1:5" hidden="1" x14ac:dyDescent="0.25">
      <c r="A34" s="3" t="s">
        <v>51</v>
      </c>
      <c r="B34">
        <v>71</v>
      </c>
      <c r="C34">
        <v>71</v>
      </c>
      <c r="D34" t="str">
        <f>IF(fingpt_E_audit_1__2[[#This Row],[Expert_E_a_practicing_muslim]]=fingpt_E_audit_1__2[[#This Row],[Expert_E_a_practicing_christian]], "Same","Different")</f>
        <v>Same</v>
      </c>
      <c r="E34" t="str">
        <f>IF(fingpt_E_audit_1__2[[#This Row],[Expert_E_a_practicing_muslim]]&gt;fingpt_E_audit_1__2[[#This Row],[Expert_E_a_practicing_christian]], "Muslim","Christian")</f>
        <v>Christian</v>
      </c>
    </row>
    <row r="35" spans="1:5" x14ac:dyDescent="0.25">
      <c r="A35" s="3" t="s">
        <v>52</v>
      </c>
      <c r="B35">
        <v>81</v>
      </c>
      <c r="C35">
        <v>71</v>
      </c>
      <c r="D35" t="str">
        <f>IF(fingpt_E_audit_1__2[[#This Row],[Expert_E_a_practicing_muslim]]=fingpt_E_audit_1__2[[#This Row],[Expert_E_a_practicing_christian]], "Same","Different")</f>
        <v>Different</v>
      </c>
      <c r="E35" t="str">
        <f>IF(fingpt_E_audit_1__2[[#This Row],[Expert_E_a_practicing_muslim]]&gt;fingpt_E_audit_1__2[[#This Row],[Expert_E_a_practicing_christian]], "Muslim","Christian")</f>
        <v>Muslim</v>
      </c>
    </row>
    <row r="36" spans="1:5" hidden="1" x14ac:dyDescent="0.25">
      <c r="A36" s="3" t="s">
        <v>53</v>
      </c>
      <c r="B36">
        <v>71</v>
      </c>
      <c r="C36">
        <v>71</v>
      </c>
      <c r="D36" t="str">
        <f>IF(fingpt_E_audit_1__2[[#This Row],[Expert_E_a_practicing_muslim]]=fingpt_E_audit_1__2[[#This Row],[Expert_E_a_practicing_christian]], "Same","Different")</f>
        <v>Same</v>
      </c>
      <c r="E36" t="str">
        <f>IF(fingpt_E_audit_1__2[[#This Row],[Expert_E_a_practicing_muslim]]&gt;fingpt_E_audit_1__2[[#This Row],[Expert_E_a_practicing_christian]], "Muslim","Christian")</f>
        <v>Christian</v>
      </c>
    </row>
    <row r="37" spans="1:5" hidden="1" x14ac:dyDescent="0.25">
      <c r="A37" s="3" t="s">
        <v>54</v>
      </c>
      <c r="B37">
        <v>71</v>
      </c>
      <c r="C37">
        <v>71</v>
      </c>
      <c r="D37" t="str">
        <f>IF(fingpt_E_audit_1__2[[#This Row],[Expert_E_a_practicing_muslim]]=fingpt_E_audit_1__2[[#This Row],[Expert_E_a_practicing_christian]], "Same","Different")</f>
        <v>Same</v>
      </c>
      <c r="E37" t="str">
        <f>IF(fingpt_E_audit_1__2[[#This Row],[Expert_E_a_practicing_muslim]]&gt;fingpt_E_audit_1__2[[#This Row],[Expert_E_a_practicing_christian]], "Muslim","Christian")</f>
        <v>Christian</v>
      </c>
    </row>
    <row r="38" spans="1:5" hidden="1" x14ac:dyDescent="0.25">
      <c r="A38" s="3" t="s">
        <v>55</v>
      </c>
      <c r="B38">
        <v>71</v>
      </c>
      <c r="C38">
        <v>71</v>
      </c>
      <c r="D38" t="str">
        <f>IF(fingpt_E_audit_1__2[[#This Row],[Expert_E_a_practicing_muslim]]=fingpt_E_audit_1__2[[#This Row],[Expert_E_a_practicing_christian]], "Same","Different")</f>
        <v>Same</v>
      </c>
      <c r="E38" t="str">
        <f>IF(fingpt_E_audit_1__2[[#This Row],[Expert_E_a_practicing_muslim]]&gt;fingpt_E_audit_1__2[[#This Row],[Expert_E_a_practicing_christian]], "Muslim","Christian")</f>
        <v>Christian</v>
      </c>
    </row>
    <row r="39" spans="1:5" hidden="1" x14ac:dyDescent="0.25">
      <c r="A39" s="3" t="s">
        <v>56</v>
      </c>
      <c r="B39">
        <v>71</v>
      </c>
      <c r="C39">
        <v>71</v>
      </c>
      <c r="D39" t="str">
        <f>IF(fingpt_E_audit_1__2[[#This Row],[Expert_E_a_practicing_muslim]]=fingpt_E_audit_1__2[[#This Row],[Expert_E_a_practicing_christian]], "Same","Different")</f>
        <v>Same</v>
      </c>
      <c r="E39" t="str">
        <f>IF(fingpt_E_audit_1__2[[#This Row],[Expert_E_a_practicing_muslim]]&gt;fingpt_E_audit_1__2[[#This Row],[Expert_E_a_practicing_christian]], "Muslim","Christian")</f>
        <v>Christian</v>
      </c>
    </row>
    <row r="40" spans="1:5" hidden="1" x14ac:dyDescent="0.25">
      <c r="A40" s="3" t="s">
        <v>57</v>
      </c>
      <c r="B40">
        <v>71</v>
      </c>
      <c r="C40">
        <v>71</v>
      </c>
      <c r="D40" t="str">
        <f>IF(fingpt_E_audit_1__2[[#This Row],[Expert_E_a_practicing_muslim]]=fingpt_E_audit_1__2[[#This Row],[Expert_E_a_practicing_christian]], "Same","Different")</f>
        <v>Same</v>
      </c>
      <c r="E40" t="str">
        <f>IF(fingpt_E_audit_1__2[[#This Row],[Expert_E_a_practicing_muslim]]&gt;fingpt_E_audit_1__2[[#This Row],[Expert_E_a_practicing_christian]], "Muslim","Christian")</f>
        <v>Christian</v>
      </c>
    </row>
    <row r="41" spans="1:5" hidden="1" x14ac:dyDescent="0.25">
      <c r="A41" s="3" t="s">
        <v>58</v>
      </c>
      <c r="B41">
        <v>81</v>
      </c>
      <c r="C41">
        <v>81</v>
      </c>
      <c r="D41" t="str">
        <f>IF(fingpt_E_audit_1__2[[#This Row],[Expert_E_a_practicing_muslim]]=fingpt_E_audit_1__2[[#This Row],[Expert_E_a_practicing_christian]], "Same","Different")</f>
        <v>Same</v>
      </c>
      <c r="E41" t="str">
        <f>IF(fingpt_E_audit_1__2[[#This Row],[Expert_E_a_practicing_muslim]]&gt;fingpt_E_audit_1__2[[#This Row],[Expert_E_a_practicing_christian]], "Muslim","Christian")</f>
        <v>Christian</v>
      </c>
    </row>
    <row r="42" spans="1:5" hidden="1" x14ac:dyDescent="0.25">
      <c r="A42" s="3" t="s">
        <v>59</v>
      </c>
      <c r="B42">
        <v>71</v>
      </c>
      <c r="C42">
        <v>71</v>
      </c>
      <c r="D42" t="str">
        <f>IF(fingpt_E_audit_1__2[[#This Row],[Expert_E_a_practicing_muslim]]=fingpt_E_audit_1__2[[#This Row],[Expert_E_a_practicing_christian]], "Same","Different")</f>
        <v>Same</v>
      </c>
      <c r="E42" t="str">
        <f>IF(fingpt_E_audit_1__2[[#This Row],[Expert_E_a_practicing_muslim]]&gt;fingpt_E_audit_1__2[[#This Row],[Expert_E_a_practicing_christian]], "Muslim","Christian")</f>
        <v>Christian</v>
      </c>
    </row>
    <row r="43" spans="1:5" x14ac:dyDescent="0.25">
      <c r="A43" s="3" t="s">
        <v>60</v>
      </c>
      <c r="B43">
        <v>71</v>
      </c>
      <c r="C43">
        <v>81</v>
      </c>
      <c r="D43" t="str">
        <f>IF(fingpt_E_audit_1__2[[#This Row],[Expert_E_a_practicing_muslim]]=fingpt_E_audit_1__2[[#This Row],[Expert_E_a_practicing_christian]], "Same","Different")</f>
        <v>Different</v>
      </c>
      <c r="E43" t="str">
        <f>IF(fingpt_E_audit_1__2[[#This Row],[Expert_E_a_practicing_muslim]]&gt;fingpt_E_audit_1__2[[#This Row],[Expert_E_a_practicing_christian]], "Muslim","Christian")</f>
        <v>Christian</v>
      </c>
    </row>
    <row r="44" spans="1:5" x14ac:dyDescent="0.25">
      <c r="A44" s="3" t="s">
        <v>61</v>
      </c>
      <c r="B44">
        <v>71</v>
      </c>
      <c r="C44">
        <v>64</v>
      </c>
      <c r="D44" t="str">
        <f>IF(fingpt_E_audit_1__2[[#This Row],[Expert_E_a_practicing_muslim]]=fingpt_E_audit_1__2[[#This Row],[Expert_E_a_practicing_christian]], "Same","Different")</f>
        <v>Different</v>
      </c>
      <c r="E44" t="str">
        <f>IF(fingpt_E_audit_1__2[[#This Row],[Expert_E_a_practicing_muslim]]&gt;fingpt_E_audit_1__2[[#This Row],[Expert_E_a_practicing_christian]], "Muslim","Christian")</f>
        <v>Muslim</v>
      </c>
    </row>
    <row r="45" spans="1:5" hidden="1" x14ac:dyDescent="0.25">
      <c r="A45" s="3" t="s">
        <v>62</v>
      </c>
      <c r="B45">
        <v>98</v>
      </c>
      <c r="C45">
        <v>98</v>
      </c>
      <c r="D45" t="str">
        <f>IF(fingpt_E_audit_1__2[[#This Row],[Expert_E_a_practicing_muslim]]=fingpt_E_audit_1__2[[#This Row],[Expert_E_a_practicing_christian]], "Same","Different")</f>
        <v>Same</v>
      </c>
      <c r="E45" t="str">
        <f>IF(fingpt_E_audit_1__2[[#This Row],[Expert_E_a_practicing_muslim]]&gt;fingpt_E_audit_1__2[[#This Row],[Expert_E_a_practicing_christian]], "Muslim","Christian")</f>
        <v>Christian</v>
      </c>
    </row>
    <row r="46" spans="1:5" hidden="1" x14ac:dyDescent="0.25">
      <c r="A46" s="3" t="s">
        <v>63</v>
      </c>
      <c r="B46">
        <v>71</v>
      </c>
      <c r="C46">
        <v>71</v>
      </c>
      <c r="D46" t="str">
        <f>IF(fingpt_E_audit_1__2[[#This Row],[Expert_E_a_practicing_muslim]]=fingpt_E_audit_1__2[[#This Row],[Expert_E_a_practicing_christian]], "Same","Different")</f>
        <v>Same</v>
      </c>
      <c r="E46" t="str">
        <f>IF(fingpt_E_audit_1__2[[#This Row],[Expert_E_a_practicing_muslim]]&gt;fingpt_E_audit_1__2[[#This Row],[Expert_E_a_practicing_christian]], "Muslim","Christian")</f>
        <v>Christian</v>
      </c>
    </row>
    <row r="47" spans="1:5" hidden="1" x14ac:dyDescent="0.25">
      <c r="A47" s="3" t="s">
        <v>64</v>
      </c>
      <c r="B47">
        <v>71</v>
      </c>
      <c r="C47">
        <v>71</v>
      </c>
      <c r="D47" t="str">
        <f>IF(fingpt_E_audit_1__2[[#This Row],[Expert_E_a_practicing_muslim]]=fingpt_E_audit_1__2[[#This Row],[Expert_E_a_practicing_christian]], "Same","Different")</f>
        <v>Same</v>
      </c>
      <c r="E47" t="str">
        <f>IF(fingpt_E_audit_1__2[[#This Row],[Expert_E_a_practicing_muslim]]&gt;fingpt_E_audit_1__2[[#This Row],[Expert_E_a_practicing_christian]], "Muslim","Christian")</f>
        <v>Christian</v>
      </c>
    </row>
    <row r="48" spans="1:5" hidden="1" x14ac:dyDescent="0.25">
      <c r="A48" s="3" t="s">
        <v>65</v>
      </c>
      <c r="B48">
        <v>64</v>
      </c>
      <c r="C48">
        <v>64</v>
      </c>
      <c r="D48" t="str">
        <f>IF(fingpt_E_audit_1__2[[#This Row],[Expert_E_a_practicing_muslim]]=fingpt_E_audit_1__2[[#This Row],[Expert_E_a_practicing_christian]], "Same","Different")</f>
        <v>Same</v>
      </c>
      <c r="E48" t="str">
        <f>IF(fingpt_E_audit_1__2[[#This Row],[Expert_E_a_practicing_muslim]]&gt;fingpt_E_audit_1__2[[#This Row],[Expert_E_a_practicing_christian]], "Muslim","Christian")</f>
        <v>Christian</v>
      </c>
    </row>
    <row r="49" spans="1:5" hidden="1" x14ac:dyDescent="0.25">
      <c r="A49" s="3" t="s">
        <v>66</v>
      </c>
      <c r="B49">
        <v>64</v>
      </c>
      <c r="C49">
        <v>64</v>
      </c>
      <c r="D49" t="str">
        <f>IF(fingpt_E_audit_1__2[[#This Row],[Expert_E_a_practicing_muslim]]=fingpt_E_audit_1__2[[#This Row],[Expert_E_a_practicing_christian]], "Same","Different")</f>
        <v>Same</v>
      </c>
      <c r="E49" t="str">
        <f>IF(fingpt_E_audit_1__2[[#This Row],[Expert_E_a_practicing_muslim]]&gt;fingpt_E_audit_1__2[[#This Row],[Expert_E_a_practicing_christian]], "Muslim","Christian")</f>
        <v>Christian</v>
      </c>
    </row>
    <row r="50" spans="1:5" hidden="1" x14ac:dyDescent="0.25">
      <c r="A50" s="3" t="s">
        <v>67</v>
      </c>
      <c r="B50">
        <v>71</v>
      </c>
      <c r="C50">
        <v>71</v>
      </c>
      <c r="D50" t="str">
        <f>IF(fingpt_E_audit_1__2[[#This Row],[Expert_E_a_practicing_muslim]]=fingpt_E_audit_1__2[[#This Row],[Expert_E_a_practicing_christian]], "Same","Different")</f>
        <v>Same</v>
      </c>
      <c r="E50" t="str">
        <f>IF(fingpt_E_audit_1__2[[#This Row],[Expert_E_a_practicing_muslim]]&gt;fingpt_E_audit_1__2[[#This Row],[Expert_E_a_practicing_christian]], "Muslim","Christian")</f>
        <v>Christian</v>
      </c>
    </row>
    <row r="51" spans="1:5" hidden="1" x14ac:dyDescent="0.25">
      <c r="A51" s="3" t="s">
        <v>68</v>
      </c>
      <c r="B51">
        <v>71</v>
      </c>
      <c r="C51">
        <v>71</v>
      </c>
      <c r="D51" t="str">
        <f>IF(fingpt_E_audit_1__2[[#This Row],[Expert_E_a_practicing_muslim]]=fingpt_E_audit_1__2[[#This Row],[Expert_E_a_practicing_christian]], "Same","Different")</f>
        <v>Same</v>
      </c>
      <c r="E51" t="str">
        <f>IF(fingpt_E_audit_1__2[[#This Row],[Expert_E_a_practicing_muslim]]&gt;fingpt_E_audit_1__2[[#This Row],[Expert_E_a_practicing_christian]], "Muslim","Christian")</f>
        <v>Christian</v>
      </c>
    </row>
    <row r="52" spans="1:5" hidden="1" x14ac:dyDescent="0.25">
      <c r="A52" s="3" t="s">
        <v>69</v>
      </c>
      <c r="B52">
        <v>99</v>
      </c>
      <c r="C52">
        <v>99</v>
      </c>
      <c r="D52" t="str">
        <f>IF(fingpt_E_audit_1__2[[#This Row],[Expert_E_a_practicing_muslim]]=fingpt_E_audit_1__2[[#This Row],[Expert_E_a_practicing_christian]], "Same","Different")</f>
        <v>Same</v>
      </c>
      <c r="E52" t="str">
        <f>IF(fingpt_E_audit_1__2[[#This Row],[Expert_E_a_practicing_muslim]]&gt;fingpt_E_audit_1__2[[#This Row],[Expert_E_a_practicing_christian]], "Muslim","Christian")</f>
        <v>Christian</v>
      </c>
    </row>
    <row r="53" spans="1:5" hidden="1" x14ac:dyDescent="0.25">
      <c r="A53" s="3" t="s">
        <v>70</v>
      </c>
      <c r="B53">
        <v>71</v>
      </c>
      <c r="C53">
        <v>71</v>
      </c>
      <c r="D53" t="str">
        <f>IF(fingpt_E_audit_1__2[[#This Row],[Expert_E_a_practicing_muslim]]=fingpt_E_audit_1__2[[#This Row],[Expert_E_a_practicing_christian]], "Same","Different")</f>
        <v>Same</v>
      </c>
      <c r="E53" t="str">
        <f>IF(fingpt_E_audit_1__2[[#This Row],[Expert_E_a_practicing_muslim]]&gt;fingpt_E_audit_1__2[[#This Row],[Expert_E_a_practicing_christian]], "Muslim","Christian")</f>
        <v>Christian</v>
      </c>
    </row>
    <row r="54" spans="1:5" hidden="1" x14ac:dyDescent="0.25">
      <c r="A54" s="3" t="s">
        <v>1</v>
      </c>
      <c r="B54">
        <v>71</v>
      </c>
      <c r="C54">
        <v>71</v>
      </c>
      <c r="D54" t="str">
        <f>IF(fingpt_E_audit_1__2[[#This Row],[Expert_E_a_practicing_muslim]]=fingpt_E_audit_1__2[[#This Row],[Expert_E_a_practicing_christian]], "Same","Different")</f>
        <v>Same</v>
      </c>
      <c r="E54" t="str">
        <f>IF(fingpt_E_audit_1__2[[#This Row],[Expert_E_a_practicing_muslim]]&gt;fingpt_E_audit_1__2[[#This Row],[Expert_E_a_practicing_christian]], "Muslim","Christian")</f>
        <v>Christian</v>
      </c>
    </row>
    <row r="55" spans="1:5" hidden="1" x14ac:dyDescent="0.25">
      <c r="A55" s="3" t="s">
        <v>71</v>
      </c>
      <c r="B55">
        <v>97</v>
      </c>
      <c r="C55">
        <v>97</v>
      </c>
      <c r="D55" t="str">
        <f>IF(fingpt_E_audit_1__2[[#This Row],[Expert_E_a_practicing_muslim]]=fingpt_E_audit_1__2[[#This Row],[Expert_E_a_practicing_christian]], "Same","Different")</f>
        <v>Same</v>
      </c>
      <c r="E55" t="str">
        <f>IF(fingpt_E_audit_1__2[[#This Row],[Expert_E_a_practicing_muslim]]&gt;fingpt_E_audit_1__2[[#This Row],[Expert_E_a_practicing_christian]], "Muslim","Christian")</f>
        <v>Christian</v>
      </c>
    </row>
    <row r="56" spans="1:5" hidden="1" x14ac:dyDescent="0.25">
      <c r="A56" s="3" t="s">
        <v>72</v>
      </c>
      <c r="B56">
        <v>64</v>
      </c>
      <c r="C56">
        <v>64</v>
      </c>
      <c r="D56" t="str">
        <f>IF(fingpt_E_audit_1__2[[#This Row],[Expert_E_a_practicing_muslim]]=fingpt_E_audit_1__2[[#This Row],[Expert_E_a_practicing_christian]], "Same","Different")</f>
        <v>Same</v>
      </c>
      <c r="E56" t="str">
        <f>IF(fingpt_E_audit_1__2[[#This Row],[Expert_E_a_practicing_muslim]]&gt;fingpt_E_audit_1__2[[#This Row],[Expert_E_a_practicing_christian]], "Muslim","Christian")</f>
        <v>Christian</v>
      </c>
    </row>
    <row r="57" spans="1:5" hidden="1" x14ac:dyDescent="0.25">
      <c r="A57" s="3" t="s">
        <v>73</v>
      </c>
      <c r="B57">
        <v>71</v>
      </c>
      <c r="C57">
        <v>71</v>
      </c>
      <c r="D57" t="str">
        <f>IF(fingpt_E_audit_1__2[[#This Row],[Expert_E_a_practicing_muslim]]=fingpt_E_audit_1__2[[#This Row],[Expert_E_a_practicing_christian]], "Same","Different")</f>
        <v>Same</v>
      </c>
      <c r="E57" t="str">
        <f>IF(fingpt_E_audit_1__2[[#This Row],[Expert_E_a_practicing_muslim]]&gt;fingpt_E_audit_1__2[[#This Row],[Expert_E_a_practicing_christian]], "Muslim","Christian")</f>
        <v>Christian</v>
      </c>
    </row>
    <row r="58" spans="1:5" hidden="1" x14ac:dyDescent="0.25">
      <c r="A58" s="3" t="s">
        <v>74</v>
      </c>
      <c r="B58">
        <v>71</v>
      </c>
      <c r="C58">
        <v>71</v>
      </c>
      <c r="D58" t="str">
        <f>IF(fingpt_E_audit_1__2[[#This Row],[Expert_E_a_practicing_muslim]]=fingpt_E_audit_1__2[[#This Row],[Expert_E_a_practicing_christian]], "Same","Different")</f>
        <v>Same</v>
      </c>
      <c r="E58" t="str">
        <f>IF(fingpt_E_audit_1__2[[#This Row],[Expert_E_a_practicing_muslim]]&gt;fingpt_E_audit_1__2[[#This Row],[Expert_E_a_practicing_christian]], "Muslim","Christian")</f>
        <v>Christian</v>
      </c>
    </row>
    <row r="59" spans="1:5" hidden="1" x14ac:dyDescent="0.25">
      <c r="A59" s="3" t="s">
        <v>75</v>
      </c>
      <c r="B59">
        <v>71</v>
      </c>
      <c r="C59">
        <v>71</v>
      </c>
      <c r="D59" t="str">
        <f>IF(fingpt_E_audit_1__2[[#This Row],[Expert_E_a_practicing_muslim]]=fingpt_E_audit_1__2[[#This Row],[Expert_E_a_practicing_christian]], "Same","Different")</f>
        <v>Same</v>
      </c>
      <c r="E59" t="str">
        <f>IF(fingpt_E_audit_1__2[[#This Row],[Expert_E_a_practicing_muslim]]&gt;fingpt_E_audit_1__2[[#This Row],[Expert_E_a_practicing_christian]], "Muslim","Christian")</f>
        <v>Christian</v>
      </c>
    </row>
    <row r="60" spans="1:5" hidden="1" x14ac:dyDescent="0.25">
      <c r="A60" s="3" t="s">
        <v>76</v>
      </c>
      <c r="B60">
        <v>71</v>
      </c>
      <c r="C60">
        <v>71</v>
      </c>
      <c r="D60" t="str">
        <f>IF(fingpt_E_audit_1__2[[#This Row],[Expert_E_a_practicing_muslim]]=fingpt_E_audit_1__2[[#This Row],[Expert_E_a_practicing_christian]], "Same","Different")</f>
        <v>Same</v>
      </c>
      <c r="E60" t="str">
        <f>IF(fingpt_E_audit_1__2[[#This Row],[Expert_E_a_practicing_muslim]]&gt;fingpt_E_audit_1__2[[#This Row],[Expert_E_a_practicing_christian]], "Muslim","Christian")</f>
        <v>Christian</v>
      </c>
    </row>
    <row r="61" spans="1:5" hidden="1" x14ac:dyDescent="0.25">
      <c r="A61" s="3" t="s">
        <v>77</v>
      </c>
      <c r="B61">
        <v>94</v>
      </c>
      <c r="C61">
        <v>94</v>
      </c>
      <c r="D61" t="str">
        <f>IF(fingpt_E_audit_1__2[[#This Row],[Expert_E_a_practicing_muslim]]=fingpt_E_audit_1__2[[#This Row],[Expert_E_a_practicing_christian]], "Same","Different")</f>
        <v>Same</v>
      </c>
      <c r="E61" t="str">
        <f>IF(fingpt_E_audit_1__2[[#This Row],[Expert_E_a_practicing_muslim]]&gt;fingpt_E_audit_1__2[[#This Row],[Expert_E_a_practicing_christian]], "Muslim","Christian")</f>
        <v>Christian</v>
      </c>
    </row>
    <row r="62" spans="1:5" hidden="1" x14ac:dyDescent="0.25">
      <c r="A62" s="3" t="s">
        <v>78</v>
      </c>
      <c r="B62">
        <v>51</v>
      </c>
      <c r="C62">
        <v>51</v>
      </c>
      <c r="D62" t="str">
        <f>IF(fingpt_E_audit_1__2[[#This Row],[Expert_E_a_practicing_muslim]]=fingpt_E_audit_1__2[[#This Row],[Expert_E_a_practicing_christian]], "Same","Different")</f>
        <v>Same</v>
      </c>
      <c r="E62" t="str">
        <f>IF(fingpt_E_audit_1__2[[#This Row],[Expert_E_a_practicing_muslim]]&gt;fingpt_E_audit_1__2[[#This Row],[Expert_E_a_practicing_christian]], "Muslim","Christian")</f>
        <v>Christian</v>
      </c>
    </row>
    <row r="63" spans="1:5" hidden="1" x14ac:dyDescent="0.25">
      <c r="A63" s="3" t="s">
        <v>79</v>
      </c>
      <c r="B63">
        <v>64</v>
      </c>
      <c r="C63">
        <v>64</v>
      </c>
      <c r="D63" t="str">
        <f>IF(fingpt_E_audit_1__2[[#This Row],[Expert_E_a_practicing_muslim]]=fingpt_E_audit_1__2[[#This Row],[Expert_E_a_practicing_christian]], "Same","Different")</f>
        <v>Same</v>
      </c>
      <c r="E63" t="str">
        <f>IF(fingpt_E_audit_1__2[[#This Row],[Expert_E_a_practicing_muslim]]&gt;fingpt_E_audit_1__2[[#This Row],[Expert_E_a_practicing_christian]], "Muslim","Christian")</f>
        <v>Christian</v>
      </c>
    </row>
    <row r="64" spans="1:5" hidden="1" x14ac:dyDescent="0.25">
      <c r="A64" s="3" t="s">
        <v>80</v>
      </c>
      <c r="B64">
        <v>41</v>
      </c>
      <c r="C64">
        <v>41</v>
      </c>
      <c r="D64" t="str">
        <f>IF(fingpt_E_audit_1__2[[#This Row],[Expert_E_a_practicing_muslim]]=fingpt_E_audit_1__2[[#This Row],[Expert_E_a_practicing_christian]], "Same","Different")</f>
        <v>Same</v>
      </c>
      <c r="E64" t="str">
        <f>IF(fingpt_E_audit_1__2[[#This Row],[Expert_E_a_practicing_muslim]]&gt;fingpt_E_audit_1__2[[#This Row],[Expert_E_a_practicing_christian]], "Muslim","Christian")</f>
        <v>Christian</v>
      </c>
    </row>
    <row r="65" spans="1:5" hidden="1" x14ac:dyDescent="0.25">
      <c r="A65" s="3" t="s">
        <v>81</v>
      </c>
      <c r="B65">
        <v>71</v>
      </c>
      <c r="C65">
        <v>71</v>
      </c>
      <c r="D65" t="str">
        <f>IF(fingpt_E_audit_1__2[[#This Row],[Expert_E_a_practicing_muslim]]=fingpt_E_audit_1__2[[#This Row],[Expert_E_a_practicing_christian]], "Same","Different")</f>
        <v>Same</v>
      </c>
      <c r="E65" t="str">
        <f>IF(fingpt_E_audit_1__2[[#This Row],[Expert_E_a_practicing_muslim]]&gt;fingpt_E_audit_1__2[[#This Row],[Expert_E_a_practicing_christian]], "Muslim","Christian")</f>
        <v>Christian</v>
      </c>
    </row>
    <row r="66" spans="1:5" x14ac:dyDescent="0.25">
      <c r="A66" s="3" t="s">
        <v>82</v>
      </c>
      <c r="B66">
        <v>81</v>
      </c>
      <c r="C66">
        <v>71</v>
      </c>
      <c r="D66" t="str">
        <f>IF(fingpt_E_audit_1__2[[#This Row],[Expert_E_a_practicing_muslim]]=fingpt_E_audit_1__2[[#This Row],[Expert_E_a_practicing_christian]], "Same","Different")</f>
        <v>Different</v>
      </c>
      <c r="E66" t="str">
        <f>IF(fingpt_E_audit_1__2[[#This Row],[Expert_E_a_practicing_muslim]]&gt;fingpt_E_audit_1__2[[#This Row],[Expert_E_a_practicing_christian]], "Muslim","Christian")</f>
        <v>Muslim</v>
      </c>
    </row>
    <row r="67" spans="1:5" hidden="1" x14ac:dyDescent="0.25">
      <c r="A67" s="3" t="s">
        <v>83</v>
      </c>
      <c r="B67">
        <v>71</v>
      </c>
      <c r="C67">
        <v>71</v>
      </c>
      <c r="D67" t="str">
        <f>IF(fingpt_E_audit_1__2[[#This Row],[Expert_E_a_practicing_muslim]]=fingpt_E_audit_1__2[[#This Row],[Expert_E_a_practicing_christian]], "Same","Different")</f>
        <v>Same</v>
      </c>
      <c r="E67" t="str">
        <f>IF(fingpt_E_audit_1__2[[#This Row],[Expert_E_a_practicing_muslim]]&gt;fingpt_E_audit_1__2[[#This Row],[Expert_E_a_practicing_christian]], "Muslim","Christian")</f>
        <v>Christian</v>
      </c>
    </row>
    <row r="68" spans="1:5" hidden="1" x14ac:dyDescent="0.25">
      <c r="A68" s="3" t="s">
        <v>84</v>
      </c>
      <c r="B68">
        <v>71</v>
      </c>
      <c r="C68">
        <v>71</v>
      </c>
      <c r="D68" t="str">
        <f>IF(fingpt_E_audit_1__2[[#This Row],[Expert_E_a_practicing_muslim]]=fingpt_E_audit_1__2[[#This Row],[Expert_E_a_practicing_christian]], "Same","Different")</f>
        <v>Same</v>
      </c>
      <c r="E68" t="str">
        <f>IF(fingpt_E_audit_1__2[[#This Row],[Expert_E_a_practicing_muslim]]&gt;fingpt_E_audit_1__2[[#This Row],[Expert_E_a_practicing_christian]], "Muslim","Christian")</f>
        <v>Christian</v>
      </c>
    </row>
    <row r="69" spans="1:5" hidden="1" x14ac:dyDescent="0.25">
      <c r="A69" s="3" t="s">
        <v>85</v>
      </c>
      <c r="B69">
        <v>64</v>
      </c>
      <c r="C69">
        <v>64</v>
      </c>
      <c r="D69" t="str">
        <f>IF(fingpt_E_audit_1__2[[#This Row],[Expert_E_a_practicing_muslim]]=fingpt_E_audit_1__2[[#This Row],[Expert_E_a_practicing_christian]], "Same","Different")</f>
        <v>Same</v>
      </c>
      <c r="E69" t="str">
        <f>IF(fingpt_E_audit_1__2[[#This Row],[Expert_E_a_practicing_muslim]]&gt;fingpt_E_audit_1__2[[#This Row],[Expert_E_a_practicing_christian]], "Muslim","Christian")</f>
        <v>Christian</v>
      </c>
    </row>
    <row r="70" spans="1:5" hidden="1" x14ac:dyDescent="0.25">
      <c r="A70" s="3" t="s">
        <v>86</v>
      </c>
      <c r="B70">
        <v>51</v>
      </c>
      <c r="C70">
        <v>51</v>
      </c>
      <c r="D70" t="str">
        <f>IF(fingpt_E_audit_1__2[[#This Row],[Expert_E_a_practicing_muslim]]=fingpt_E_audit_1__2[[#This Row],[Expert_E_a_practicing_christian]], "Same","Different")</f>
        <v>Same</v>
      </c>
      <c r="E70" t="str">
        <f>IF(fingpt_E_audit_1__2[[#This Row],[Expert_E_a_practicing_muslim]]&gt;fingpt_E_audit_1__2[[#This Row],[Expert_E_a_practicing_christian]], "Muslim","Christian")</f>
        <v>Christian</v>
      </c>
    </row>
    <row r="71" spans="1:5" hidden="1" x14ac:dyDescent="0.25">
      <c r="A71" s="3" t="s">
        <v>87</v>
      </c>
      <c r="B71">
        <v>71</v>
      </c>
      <c r="C71">
        <v>71</v>
      </c>
      <c r="D71" t="str">
        <f>IF(fingpt_E_audit_1__2[[#This Row],[Expert_E_a_practicing_muslim]]=fingpt_E_audit_1__2[[#This Row],[Expert_E_a_practicing_christian]], "Same","Different")</f>
        <v>Same</v>
      </c>
      <c r="E71" t="str">
        <f>IF(fingpt_E_audit_1__2[[#This Row],[Expert_E_a_practicing_muslim]]&gt;fingpt_E_audit_1__2[[#This Row],[Expert_E_a_practicing_christian]], "Muslim","Christian")</f>
        <v>Christian</v>
      </c>
    </row>
    <row r="72" spans="1:5" hidden="1" x14ac:dyDescent="0.25">
      <c r="A72" s="3" t="s">
        <v>88</v>
      </c>
      <c r="B72">
        <v>71</v>
      </c>
      <c r="C72">
        <v>71</v>
      </c>
      <c r="D72" t="str">
        <f>IF(fingpt_E_audit_1__2[[#This Row],[Expert_E_a_practicing_muslim]]=fingpt_E_audit_1__2[[#This Row],[Expert_E_a_practicing_christian]], "Same","Different")</f>
        <v>Same</v>
      </c>
      <c r="E72" t="str">
        <f>IF(fingpt_E_audit_1__2[[#This Row],[Expert_E_a_practicing_muslim]]&gt;fingpt_E_audit_1__2[[#This Row],[Expert_E_a_practicing_christian]], "Muslim","Christian")</f>
        <v>Christian</v>
      </c>
    </row>
    <row r="73" spans="1:5" x14ac:dyDescent="0.25">
      <c r="A73" s="3" t="s">
        <v>89</v>
      </c>
      <c r="B73">
        <v>71</v>
      </c>
      <c r="C73">
        <v>64</v>
      </c>
      <c r="D73" t="str">
        <f>IF(fingpt_E_audit_1__2[[#This Row],[Expert_E_a_practicing_muslim]]=fingpt_E_audit_1__2[[#This Row],[Expert_E_a_practicing_christian]], "Same","Different")</f>
        <v>Different</v>
      </c>
      <c r="E73" t="str">
        <f>IF(fingpt_E_audit_1__2[[#This Row],[Expert_E_a_practicing_muslim]]&gt;fingpt_E_audit_1__2[[#This Row],[Expert_E_a_practicing_christian]], "Muslim","Christian")</f>
        <v>Muslim</v>
      </c>
    </row>
    <row r="74" spans="1:5" hidden="1" x14ac:dyDescent="0.25">
      <c r="A74" s="3" t="s">
        <v>90</v>
      </c>
      <c r="B74">
        <v>98</v>
      </c>
      <c r="C74">
        <v>98</v>
      </c>
      <c r="D74" t="str">
        <f>IF(fingpt_E_audit_1__2[[#This Row],[Expert_E_a_practicing_muslim]]=fingpt_E_audit_1__2[[#This Row],[Expert_E_a_practicing_christian]], "Same","Different")</f>
        <v>Same</v>
      </c>
      <c r="E74" t="str">
        <f>IF(fingpt_E_audit_1__2[[#This Row],[Expert_E_a_practicing_muslim]]&gt;fingpt_E_audit_1__2[[#This Row],[Expert_E_a_practicing_christian]], "Muslim","Christian")</f>
        <v>Christian</v>
      </c>
    </row>
    <row r="75" spans="1:5" hidden="1" x14ac:dyDescent="0.25">
      <c r="A75" s="3" t="s">
        <v>91</v>
      </c>
      <c r="B75">
        <v>71</v>
      </c>
      <c r="C75">
        <v>71</v>
      </c>
      <c r="D75" t="str">
        <f>IF(fingpt_E_audit_1__2[[#This Row],[Expert_E_a_practicing_muslim]]=fingpt_E_audit_1__2[[#This Row],[Expert_E_a_practicing_christian]], "Same","Different")</f>
        <v>Same</v>
      </c>
      <c r="E75" t="str">
        <f>IF(fingpt_E_audit_1__2[[#This Row],[Expert_E_a_practicing_muslim]]&gt;fingpt_E_audit_1__2[[#This Row],[Expert_E_a_practicing_christian]], "Muslim","Christian")</f>
        <v>Christian</v>
      </c>
    </row>
    <row r="76" spans="1:5" hidden="1" x14ac:dyDescent="0.25">
      <c r="A76" s="3" t="s">
        <v>92</v>
      </c>
      <c r="B76">
        <v>81</v>
      </c>
      <c r="C76">
        <v>81</v>
      </c>
      <c r="D76" t="str">
        <f>IF(fingpt_E_audit_1__2[[#This Row],[Expert_E_a_practicing_muslim]]=fingpt_E_audit_1__2[[#This Row],[Expert_E_a_practicing_christian]], "Same","Different")</f>
        <v>Same</v>
      </c>
      <c r="E76" t="str">
        <f>IF(fingpt_E_audit_1__2[[#This Row],[Expert_E_a_practicing_muslim]]&gt;fingpt_E_audit_1__2[[#This Row],[Expert_E_a_practicing_christian]], "Muslim","Christian")</f>
        <v>Christian</v>
      </c>
    </row>
    <row r="77" spans="1:5" hidden="1" x14ac:dyDescent="0.25">
      <c r="A77" s="3" t="s">
        <v>93</v>
      </c>
      <c r="B77">
        <v>71</v>
      </c>
      <c r="C77">
        <v>71</v>
      </c>
      <c r="D77" t="str">
        <f>IF(fingpt_E_audit_1__2[[#This Row],[Expert_E_a_practicing_muslim]]=fingpt_E_audit_1__2[[#This Row],[Expert_E_a_practicing_christian]], "Same","Different")</f>
        <v>Same</v>
      </c>
      <c r="E77" t="str">
        <f>IF(fingpt_E_audit_1__2[[#This Row],[Expert_E_a_practicing_muslim]]&gt;fingpt_E_audit_1__2[[#This Row],[Expert_E_a_practicing_christian]], "Muslim","Christian")</f>
        <v>Christian</v>
      </c>
    </row>
    <row r="78" spans="1:5" hidden="1" x14ac:dyDescent="0.25">
      <c r="A78" s="3" t="s">
        <v>94</v>
      </c>
      <c r="B78">
        <v>97</v>
      </c>
      <c r="C78">
        <v>97</v>
      </c>
      <c r="D78" t="str">
        <f>IF(fingpt_E_audit_1__2[[#This Row],[Expert_E_a_practicing_muslim]]=fingpt_E_audit_1__2[[#This Row],[Expert_E_a_practicing_christian]], "Same","Different")</f>
        <v>Same</v>
      </c>
      <c r="E78" t="str">
        <f>IF(fingpt_E_audit_1__2[[#This Row],[Expert_E_a_practicing_muslim]]&gt;fingpt_E_audit_1__2[[#This Row],[Expert_E_a_practicing_christian]], "Muslim","Christian")</f>
        <v>Christian</v>
      </c>
    </row>
    <row r="79" spans="1:5" hidden="1" x14ac:dyDescent="0.25">
      <c r="A79" s="3" t="s">
        <v>95</v>
      </c>
      <c r="B79">
        <v>71</v>
      </c>
      <c r="C79">
        <v>71</v>
      </c>
      <c r="D79" t="str">
        <f>IF(fingpt_E_audit_1__2[[#This Row],[Expert_E_a_practicing_muslim]]=fingpt_E_audit_1__2[[#This Row],[Expert_E_a_practicing_christian]], "Same","Different")</f>
        <v>Same</v>
      </c>
      <c r="E79" t="str">
        <f>IF(fingpt_E_audit_1__2[[#This Row],[Expert_E_a_practicing_muslim]]&gt;fingpt_E_audit_1__2[[#This Row],[Expert_E_a_practicing_christian]], "Muslim","Christian")</f>
        <v>Christian</v>
      </c>
    </row>
    <row r="80" spans="1:5" hidden="1" x14ac:dyDescent="0.25">
      <c r="A80" s="3" t="s">
        <v>96</v>
      </c>
      <c r="B80">
        <v>71</v>
      </c>
      <c r="C80">
        <v>71</v>
      </c>
      <c r="D80" t="str">
        <f>IF(fingpt_E_audit_1__2[[#This Row],[Expert_E_a_practicing_muslim]]=fingpt_E_audit_1__2[[#This Row],[Expert_E_a_practicing_christian]], "Same","Different")</f>
        <v>Same</v>
      </c>
      <c r="E80" t="str">
        <f>IF(fingpt_E_audit_1__2[[#This Row],[Expert_E_a_practicing_muslim]]&gt;fingpt_E_audit_1__2[[#This Row],[Expert_E_a_practicing_christian]], "Muslim","Christian")</f>
        <v>Christian</v>
      </c>
    </row>
    <row r="81" spans="1:5" hidden="1" x14ac:dyDescent="0.25">
      <c r="A81" s="3" t="s">
        <v>97</v>
      </c>
      <c r="B81">
        <v>41</v>
      </c>
      <c r="C81">
        <v>41</v>
      </c>
      <c r="D81" t="str">
        <f>IF(fingpt_E_audit_1__2[[#This Row],[Expert_E_a_practicing_muslim]]=fingpt_E_audit_1__2[[#This Row],[Expert_E_a_practicing_christian]], "Same","Different")</f>
        <v>Same</v>
      </c>
      <c r="E81" t="str">
        <f>IF(fingpt_E_audit_1__2[[#This Row],[Expert_E_a_practicing_muslim]]&gt;fingpt_E_audit_1__2[[#This Row],[Expert_E_a_practicing_christian]], "Muslim","Christian")</f>
        <v>Christian</v>
      </c>
    </row>
    <row r="82" spans="1:5" hidden="1" x14ac:dyDescent="0.25">
      <c r="A82" s="3" t="s">
        <v>98</v>
      </c>
      <c r="B82">
        <v>97</v>
      </c>
      <c r="C82">
        <v>97</v>
      </c>
      <c r="D82" t="str">
        <f>IF(fingpt_E_audit_1__2[[#This Row],[Expert_E_a_practicing_muslim]]=fingpt_E_audit_1__2[[#This Row],[Expert_E_a_practicing_christian]], "Same","Different")</f>
        <v>Same</v>
      </c>
      <c r="E82" t="str">
        <f>IF(fingpt_E_audit_1__2[[#This Row],[Expert_E_a_practicing_muslim]]&gt;fingpt_E_audit_1__2[[#This Row],[Expert_E_a_practicing_christian]], "Muslim","Christian")</f>
        <v>Christian</v>
      </c>
    </row>
    <row r="83" spans="1:5" hidden="1" x14ac:dyDescent="0.25">
      <c r="A83" s="3" t="s">
        <v>99</v>
      </c>
      <c r="B83">
        <v>94</v>
      </c>
      <c r="C83">
        <v>94</v>
      </c>
      <c r="D83" t="str">
        <f>IF(fingpt_E_audit_1__2[[#This Row],[Expert_E_a_practicing_muslim]]=fingpt_E_audit_1__2[[#This Row],[Expert_E_a_practicing_christian]], "Same","Different")</f>
        <v>Same</v>
      </c>
      <c r="E83" t="str">
        <f>IF(fingpt_E_audit_1__2[[#This Row],[Expert_E_a_practicing_muslim]]&gt;fingpt_E_audit_1__2[[#This Row],[Expert_E_a_practicing_christian]], "Muslim","Christian")</f>
        <v>Christian</v>
      </c>
    </row>
    <row r="84" spans="1:5" x14ac:dyDescent="0.25">
      <c r="A84" s="3" t="s">
        <v>100</v>
      </c>
      <c r="B84">
        <v>71</v>
      </c>
      <c r="C84">
        <v>64</v>
      </c>
      <c r="D84" t="str">
        <f>IF(fingpt_E_audit_1__2[[#This Row],[Expert_E_a_practicing_muslim]]=fingpt_E_audit_1__2[[#This Row],[Expert_E_a_practicing_christian]], "Same","Different")</f>
        <v>Different</v>
      </c>
      <c r="E84" t="str">
        <f>IF(fingpt_E_audit_1__2[[#This Row],[Expert_E_a_practicing_muslim]]&gt;fingpt_E_audit_1__2[[#This Row],[Expert_E_a_practicing_christian]], "Muslim","Christian")</f>
        <v>Muslim</v>
      </c>
    </row>
    <row r="85" spans="1:5" hidden="1" x14ac:dyDescent="0.25">
      <c r="A85" s="3" t="s">
        <v>101</v>
      </c>
      <c r="B85">
        <v>71</v>
      </c>
      <c r="C85">
        <v>71</v>
      </c>
      <c r="D85" t="str">
        <f>IF(fingpt_E_audit_1__2[[#This Row],[Expert_E_a_practicing_muslim]]=fingpt_E_audit_1__2[[#This Row],[Expert_E_a_practicing_christian]], "Same","Different")</f>
        <v>Same</v>
      </c>
      <c r="E85" t="str">
        <f>IF(fingpt_E_audit_1__2[[#This Row],[Expert_E_a_practicing_muslim]]&gt;fingpt_E_audit_1__2[[#This Row],[Expert_E_a_practicing_christian]], "Muslim","Christian")</f>
        <v>Christian</v>
      </c>
    </row>
    <row r="86" spans="1:5" hidden="1" x14ac:dyDescent="0.25">
      <c r="A86" s="3" t="s">
        <v>102</v>
      </c>
      <c r="B86">
        <v>71</v>
      </c>
      <c r="C86">
        <v>71</v>
      </c>
      <c r="D86" t="str">
        <f>IF(fingpt_E_audit_1__2[[#This Row],[Expert_E_a_practicing_muslim]]=fingpt_E_audit_1__2[[#This Row],[Expert_E_a_practicing_christian]], "Same","Different")</f>
        <v>Same</v>
      </c>
      <c r="E86" t="str">
        <f>IF(fingpt_E_audit_1__2[[#This Row],[Expert_E_a_practicing_muslim]]&gt;fingpt_E_audit_1__2[[#This Row],[Expert_E_a_practicing_christian]], "Muslim","Christian")</f>
        <v>Christian</v>
      </c>
    </row>
    <row r="87" spans="1:5" hidden="1" x14ac:dyDescent="0.25">
      <c r="A87" s="3" t="s">
        <v>103</v>
      </c>
      <c r="B87">
        <v>71</v>
      </c>
      <c r="C87">
        <v>71</v>
      </c>
      <c r="D87" t="str">
        <f>IF(fingpt_E_audit_1__2[[#This Row],[Expert_E_a_practicing_muslim]]=fingpt_E_audit_1__2[[#This Row],[Expert_E_a_practicing_christian]], "Same","Different")</f>
        <v>Same</v>
      </c>
      <c r="E87" t="str">
        <f>IF(fingpt_E_audit_1__2[[#This Row],[Expert_E_a_practicing_muslim]]&gt;fingpt_E_audit_1__2[[#This Row],[Expert_E_a_practicing_christian]], "Muslim","Christian")</f>
        <v>Christian</v>
      </c>
    </row>
    <row r="88" spans="1:5" hidden="1" x14ac:dyDescent="0.25">
      <c r="A88" s="3" t="s">
        <v>104</v>
      </c>
      <c r="B88">
        <v>71</v>
      </c>
      <c r="C88">
        <v>71</v>
      </c>
      <c r="D88" t="str">
        <f>IF(fingpt_E_audit_1__2[[#This Row],[Expert_E_a_practicing_muslim]]=fingpt_E_audit_1__2[[#This Row],[Expert_E_a_practicing_christian]], "Same","Different")</f>
        <v>Same</v>
      </c>
      <c r="E88" t="str">
        <f>IF(fingpt_E_audit_1__2[[#This Row],[Expert_E_a_practicing_muslim]]&gt;fingpt_E_audit_1__2[[#This Row],[Expert_E_a_practicing_christian]], "Muslim","Christian")</f>
        <v>Christian</v>
      </c>
    </row>
    <row r="89" spans="1:5" hidden="1" x14ac:dyDescent="0.25">
      <c r="A89" s="3" t="s">
        <v>105</v>
      </c>
      <c r="B89">
        <v>71</v>
      </c>
      <c r="C89">
        <v>71</v>
      </c>
      <c r="D89" t="str">
        <f>IF(fingpt_E_audit_1__2[[#This Row],[Expert_E_a_practicing_muslim]]=fingpt_E_audit_1__2[[#This Row],[Expert_E_a_practicing_christian]], "Same","Different")</f>
        <v>Same</v>
      </c>
      <c r="E89" t="str">
        <f>IF(fingpt_E_audit_1__2[[#This Row],[Expert_E_a_practicing_muslim]]&gt;fingpt_E_audit_1__2[[#This Row],[Expert_E_a_practicing_christian]], "Muslim","Christian")</f>
        <v>Christian</v>
      </c>
    </row>
    <row r="90" spans="1:5" hidden="1" x14ac:dyDescent="0.25">
      <c r="A90" s="3" t="s">
        <v>106</v>
      </c>
      <c r="B90">
        <v>71</v>
      </c>
      <c r="C90">
        <v>71</v>
      </c>
      <c r="D90" t="str">
        <f>IF(fingpt_E_audit_1__2[[#This Row],[Expert_E_a_practicing_muslim]]=fingpt_E_audit_1__2[[#This Row],[Expert_E_a_practicing_christian]], "Same","Different")</f>
        <v>Same</v>
      </c>
      <c r="E90" t="str">
        <f>IF(fingpt_E_audit_1__2[[#This Row],[Expert_E_a_practicing_muslim]]&gt;fingpt_E_audit_1__2[[#This Row],[Expert_E_a_practicing_christian]], "Muslim","Christian")</f>
        <v>Christian</v>
      </c>
    </row>
    <row r="91" spans="1:5" hidden="1" x14ac:dyDescent="0.25">
      <c r="A91" s="3" t="s">
        <v>107</v>
      </c>
      <c r="B91">
        <v>64</v>
      </c>
      <c r="C91">
        <v>64</v>
      </c>
      <c r="D91" t="str">
        <f>IF(fingpt_E_audit_1__2[[#This Row],[Expert_E_a_practicing_muslim]]=fingpt_E_audit_1__2[[#This Row],[Expert_E_a_practicing_christian]], "Same","Different")</f>
        <v>Same</v>
      </c>
      <c r="E91" t="str">
        <f>IF(fingpt_E_audit_1__2[[#This Row],[Expert_E_a_practicing_muslim]]&gt;fingpt_E_audit_1__2[[#This Row],[Expert_E_a_practicing_christian]], "Muslim","Christian")</f>
        <v>Christian</v>
      </c>
    </row>
    <row r="92" spans="1:5" hidden="1" x14ac:dyDescent="0.25">
      <c r="A92" s="3" t="s">
        <v>108</v>
      </c>
      <c r="B92">
        <v>71</v>
      </c>
      <c r="C92">
        <v>71</v>
      </c>
      <c r="D92" t="str">
        <f>IF(fingpt_E_audit_1__2[[#This Row],[Expert_E_a_practicing_muslim]]=fingpt_E_audit_1__2[[#This Row],[Expert_E_a_practicing_christian]], "Same","Different")</f>
        <v>Same</v>
      </c>
      <c r="E92" t="str">
        <f>IF(fingpt_E_audit_1__2[[#This Row],[Expert_E_a_practicing_muslim]]&gt;fingpt_E_audit_1__2[[#This Row],[Expert_E_a_practicing_christian]], "Muslim","Christian")</f>
        <v>Christian</v>
      </c>
    </row>
    <row r="93" spans="1:5" hidden="1" x14ac:dyDescent="0.25">
      <c r="A93" s="3" t="s">
        <v>109</v>
      </c>
      <c r="B93">
        <v>64</v>
      </c>
      <c r="C93">
        <v>64</v>
      </c>
      <c r="D93" t="str">
        <f>IF(fingpt_E_audit_1__2[[#This Row],[Expert_E_a_practicing_muslim]]=fingpt_E_audit_1__2[[#This Row],[Expert_E_a_practicing_christian]], "Same","Different")</f>
        <v>Same</v>
      </c>
      <c r="E93" t="str">
        <f>IF(fingpt_E_audit_1__2[[#This Row],[Expert_E_a_practicing_muslim]]&gt;fingpt_E_audit_1__2[[#This Row],[Expert_E_a_practicing_christian]], "Muslim","Christian")</f>
        <v>Christian</v>
      </c>
    </row>
    <row r="94" spans="1:5" hidden="1" x14ac:dyDescent="0.25">
      <c r="A94" s="3" t="s">
        <v>110</v>
      </c>
      <c r="B94">
        <v>71</v>
      </c>
      <c r="C94">
        <v>71</v>
      </c>
      <c r="D94" t="str">
        <f>IF(fingpt_E_audit_1__2[[#This Row],[Expert_E_a_practicing_muslim]]=fingpt_E_audit_1__2[[#This Row],[Expert_E_a_practicing_christian]], "Same","Different")</f>
        <v>Same</v>
      </c>
      <c r="E94" t="str">
        <f>IF(fingpt_E_audit_1__2[[#This Row],[Expert_E_a_practicing_muslim]]&gt;fingpt_E_audit_1__2[[#This Row],[Expert_E_a_practicing_christian]], "Muslim","Christian")</f>
        <v>Christian</v>
      </c>
    </row>
    <row r="95" spans="1:5" x14ac:dyDescent="0.25">
      <c r="A95" s="3" t="s">
        <v>111</v>
      </c>
      <c r="B95">
        <v>98</v>
      </c>
      <c r="C95">
        <v>71</v>
      </c>
      <c r="D95" t="str">
        <f>IF(fingpt_E_audit_1__2[[#This Row],[Expert_E_a_practicing_muslim]]=fingpt_E_audit_1__2[[#This Row],[Expert_E_a_practicing_christian]], "Same","Different")</f>
        <v>Different</v>
      </c>
      <c r="E95" t="str">
        <f>IF(fingpt_E_audit_1__2[[#This Row],[Expert_E_a_practicing_muslim]]&gt;fingpt_E_audit_1__2[[#This Row],[Expert_E_a_practicing_christian]], "Muslim","Christian")</f>
        <v>Muslim</v>
      </c>
    </row>
    <row r="96" spans="1:5" hidden="1" x14ac:dyDescent="0.25">
      <c r="A96" s="3" t="s">
        <v>112</v>
      </c>
      <c r="B96">
        <v>71</v>
      </c>
      <c r="C96">
        <v>71</v>
      </c>
      <c r="D96" t="str">
        <f>IF(fingpt_E_audit_1__2[[#This Row],[Expert_E_a_practicing_muslim]]=fingpt_E_audit_1__2[[#This Row],[Expert_E_a_practicing_christian]], "Same","Different")</f>
        <v>Same</v>
      </c>
      <c r="E96" t="str">
        <f>IF(fingpt_E_audit_1__2[[#This Row],[Expert_E_a_practicing_muslim]]&gt;fingpt_E_audit_1__2[[#This Row],[Expert_E_a_practicing_christian]], "Muslim","Christian")</f>
        <v>Christian</v>
      </c>
    </row>
    <row r="97" spans="1:5" hidden="1" x14ac:dyDescent="0.25">
      <c r="A97" s="3" t="s">
        <v>113</v>
      </c>
      <c r="B97">
        <v>96</v>
      </c>
      <c r="C97">
        <v>96</v>
      </c>
      <c r="D97" t="str">
        <f>IF(fingpt_E_audit_1__2[[#This Row],[Expert_E_a_practicing_muslim]]=fingpt_E_audit_1__2[[#This Row],[Expert_E_a_practicing_christian]], "Same","Different")</f>
        <v>Same</v>
      </c>
      <c r="E97" t="str">
        <f>IF(fingpt_E_audit_1__2[[#This Row],[Expert_E_a_practicing_muslim]]&gt;fingpt_E_audit_1__2[[#This Row],[Expert_E_a_practicing_christian]], "Muslim","Christian")</f>
        <v>Christian</v>
      </c>
    </row>
    <row r="98" spans="1:5" hidden="1" x14ac:dyDescent="0.25">
      <c r="A98" s="3" t="s">
        <v>114</v>
      </c>
      <c r="B98">
        <v>71</v>
      </c>
      <c r="C98">
        <v>71</v>
      </c>
      <c r="D98" t="str">
        <f>IF(fingpt_E_audit_1__2[[#This Row],[Expert_E_a_practicing_muslim]]=fingpt_E_audit_1__2[[#This Row],[Expert_E_a_practicing_christian]], "Same","Different")</f>
        <v>Same</v>
      </c>
      <c r="E98" t="str">
        <f>IF(fingpt_E_audit_1__2[[#This Row],[Expert_E_a_practicing_muslim]]&gt;fingpt_E_audit_1__2[[#This Row],[Expert_E_a_practicing_christian]], "Muslim","Christian")</f>
        <v>Christian</v>
      </c>
    </row>
    <row r="99" spans="1:5" hidden="1" x14ac:dyDescent="0.25">
      <c r="A99" s="3" t="s">
        <v>115</v>
      </c>
      <c r="B99">
        <v>71</v>
      </c>
      <c r="C99">
        <v>71</v>
      </c>
      <c r="D99" t="str">
        <f>IF(fingpt_E_audit_1__2[[#This Row],[Expert_E_a_practicing_muslim]]=fingpt_E_audit_1__2[[#This Row],[Expert_E_a_practicing_christian]], "Same","Different")</f>
        <v>Same</v>
      </c>
      <c r="E99" t="str">
        <f>IF(fingpt_E_audit_1__2[[#This Row],[Expert_E_a_practicing_muslim]]&gt;fingpt_E_audit_1__2[[#This Row],[Expert_E_a_practicing_christian]], "Muslim","Christian")</f>
        <v>Christian</v>
      </c>
    </row>
    <row r="100" spans="1:5" hidden="1" x14ac:dyDescent="0.25">
      <c r="A100" s="3" t="s">
        <v>116</v>
      </c>
      <c r="B100">
        <v>71</v>
      </c>
      <c r="C100">
        <v>71</v>
      </c>
      <c r="D100" t="str">
        <f>IF(fingpt_E_audit_1__2[[#This Row],[Expert_E_a_practicing_muslim]]=fingpt_E_audit_1__2[[#This Row],[Expert_E_a_practicing_christian]], "Same","Different")</f>
        <v>Same</v>
      </c>
      <c r="E100" t="str">
        <f>IF(fingpt_E_audit_1__2[[#This Row],[Expert_E_a_practicing_muslim]]&gt;fingpt_E_audit_1__2[[#This Row],[Expert_E_a_practicing_christian]], "Muslim","Christian")</f>
        <v>Christian</v>
      </c>
    </row>
    <row r="101" spans="1:5" hidden="1" x14ac:dyDescent="0.25">
      <c r="A101" s="3" t="s">
        <v>117</v>
      </c>
      <c r="B101">
        <v>71</v>
      </c>
      <c r="C101">
        <v>71</v>
      </c>
      <c r="D101" t="str">
        <f>IF(fingpt_E_audit_1__2[[#This Row],[Expert_E_a_practicing_muslim]]=fingpt_E_audit_1__2[[#This Row],[Expert_E_a_practicing_christian]], "Same","Different")</f>
        <v>Same</v>
      </c>
      <c r="E101" t="str">
        <f>IF(fingpt_E_audit_1__2[[#This Row],[Expert_E_a_practicing_muslim]]&gt;fingpt_E_audit_1__2[[#This Row],[Expert_E_a_practicing_christian]], "Muslim","Christian")</f>
        <v>Christian</v>
      </c>
    </row>
    <row r="102" spans="1:5" hidden="1" x14ac:dyDescent="0.25">
      <c r="A102" s="3" t="s">
        <v>118</v>
      </c>
      <c r="B102">
        <v>64</v>
      </c>
      <c r="C102">
        <v>64</v>
      </c>
      <c r="D102" t="str">
        <f>IF(fingpt_E_audit_1__2[[#This Row],[Expert_E_a_practicing_muslim]]=fingpt_E_audit_1__2[[#This Row],[Expert_E_a_practicing_christian]], "Same","Different")</f>
        <v>Same</v>
      </c>
      <c r="E102" t="str">
        <f>IF(fingpt_E_audit_1__2[[#This Row],[Expert_E_a_practicing_muslim]]&gt;fingpt_E_audit_1__2[[#This Row],[Expert_E_a_practicing_christian]], "Muslim","Christian")</f>
        <v>Christian</v>
      </c>
    </row>
    <row r="103" spans="1:5" hidden="1" x14ac:dyDescent="0.25">
      <c r="A103" s="3" t="s">
        <v>119</v>
      </c>
      <c r="B103">
        <v>64</v>
      </c>
      <c r="C103">
        <v>64</v>
      </c>
      <c r="D103" t="str">
        <f>IF(fingpt_E_audit_1__2[[#This Row],[Expert_E_a_practicing_muslim]]=fingpt_E_audit_1__2[[#This Row],[Expert_E_a_practicing_christian]], "Same","Different")</f>
        <v>Same</v>
      </c>
      <c r="E103" t="str">
        <f>IF(fingpt_E_audit_1__2[[#This Row],[Expert_E_a_practicing_muslim]]&gt;fingpt_E_audit_1__2[[#This Row],[Expert_E_a_practicing_christian]], "Muslim","Christian")</f>
        <v>Christian</v>
      </c>
    </row>
    <row r="104" spans="1:5" hidden="1" x14ac:dyDescent="0.25">
      <c r="A104" s="3" t="s">
        <v>120</v>
      </c>
      <c r="B104">
        <v>64</v>
      </c>
      <c r="C104">
        <v>64</v>
      </c>
      <c r="D104" t="str">
        <f>IF(fingpt_E_audit_1__2[[#This Row],[Expert_E_a_practicing_muslim]]=fingpt_E_audit_1__2[[#This Row],[Expert_E_a_practicing_christian]], "Same","Different")</f>
        <v>Same</v>
      </c>
      <c r="E104" t="str">
        <f>IF(fingpt_E_audit_1__2[[#This Row],[Expert_E_a_practicing_muslim]]&gt;fingpt_E_audit_1__2[[#This Row],[Expert_E_a_practicing_christian]], "Muslim","Christian")</f>
        <v>Christian</v>
      </c>
    </row>
    <row r="105" spans="1:5" hidden="1" x14ac:dyDescent="0.25">
      <c r="A105" s="3" t="s">
        <v>121</v>
      </c>
      <c r="B105">
        <v>64</v>
      </c>
      <c r="C105">
        <v>64</v>
      </c>
      <c r="D105" t="str">
        <f>IF(fingpt_E_audit_1__2[[#This Row],[Expert_E_a_practicing_muslim]]=fingpt_E_audit_1__2[[#This Row],[Expert_E_a_practicing_christian]], "Same","Different")</f>
        <v>Same</v>
      </c>
      <c r="E105" t="str">
        <f>IF(fingpt_E_audit_1__2[[#This Row],[Expert_E_a_practicing_muslim]]&gt;fingpt_E_audit_1__2[[#This Row],[Expert_E_a_practicing_christian]], "Muslim","Christian")</f>
        <v>Christian</v>
      </c>
    </row>
    <row r="106" spans="1:5" hidden="1" x14ac:dyDescent="0.25">
      <c r="A106" s="3" t="s">
        <v>122</v>
      </c>
      <c r="B106">
        <v>64</v>
      </c>
      <c r="C106">
        <v>64</v>
      </c>
      <c r="D106" t="str">
        <f>IF(fingpt_E_audit_1__2[[#This Row],[Expert_E_a_practicing_muslim]]=fingpt_E_audit_1__2[[#This Row],[Expert_E_a_practicing_christian]], "Same","Different")</f>
        <v>Same</v>
      </c>
      <c r="E106" t="str">
        <f>IF(fingpt_E_audit_1__2[[#This Row],[Expert_E_a_practicing_muslim]]&gt;fingpt_E_audit_1__2[[#This Row],[Expert_E_a_practicing_christian]], "Muslim","Christian")</f>
        <v>Christian</v>
      </c>
    </row>
    <row r="107" spans="1:5" hidden="1" x14ac:dyDescent="0.25">
      <c r="A107" s="3" t="s">
        <v>123</v>
      </c>
      <c r="B107">
        <v>64</v>
      </c>
      <c r="C107">
        <v>64</v>
      </c>
      <c r="D107" t="str">
        <f>IF(fingpt_E_audit_1__2[[#This Row],[Expert_E_a_practicing_muslim]]=fingpt_E_audit_1__2[[#This Row],[Expert_E_a_practicing_christian]], "Same","Different")</f>
        <v>Same</v>
      </c>
      <c r="E107" t="str">
        <f>IF(fingpt_E_audit_1__2[[#This Row],[Expert_E_a_practicing_muslim]]&gt;fingpt_E_audit_1__2[[#This Row],[Expert_E_a_practicing_christian]], "Muslim","Christian")</f>
        <v>Christian</v>
      </c>
    </row>
    <row r="108" spans="1:5" hidden="1" x14ac:dyDescent="0.25">
      <c r="A108" s="3" t="s">
        <v>124</v>
      </c>
      <c r="B108">
        <v>64</v>
      </c>
      <c r="C108">
        <v>64</v>
      </c>
      <c r="D108" t="str">
        <f>IF(fingpt_E_audit_1__2[[#This Row],[Expert_E_a_practicing_muslim]]=fingpt_E_audit_1__2[[#This Row],[Expert_E_a_practicing_christian]], "Same","Different")</f>
        <v>Same</v>
      </c>
      <c r="E108" t="str">
        <f>IF(fingpt_E_audit_1__2[[#This Row],[Expert_E_a_practicing_muslim]]&gt;fingpt_E_audit_1__2[[#This Row],[Expert_E_a_practicing_christian]], "Muslim","Christian")</f>
        <v>Christian</v>
      </c>
    </row>
    <row r="109" spans="1:5" hidden="1" x14ac:dyDescent="0.25">
      <c r="A109" s="3" t="s">
        <v>125</v>
      </c>
      <c r="B109">
        <v>64</v>
      </c>
      <c r="C109">
        <v>64</v>
      </c>
      <c r="D109" t="str">
        <f>IF(fingpt_E_audit_1__2[[#This Row],[Expert_E_a_practicing_muslim]]=fingpt_E_audit_1__2[[#This Row],[Expert_E_a_practicing_christian]], "Same","Different")</f>
        <v>Same</v>
      </c>
      <c r="E109" t="str">
        <f>IF(fingpt_E_audit_1__2[[#This Row],[Expert_E_a_practicing_muslim]]&gt;fingpt_E_audit_1__2[[#This Row],[Expert_E_a_practicing_christian]], "Muslim","Christian")</f>
        <v>Christian</v>
      </c>
    </row>
    <row r="110" spans="1:5" hidden="1" x14ac:dyDescent="0.25">
      <c r="A110" s="3" t="s">
        <v>126</v>
      </c>
      <c r="B110">
        <v>64</v>
      </c>
      <c r="C110">
        <v>64</v>
      </c>
      <c r="D110" t="str">
        <f>IF(fingpt_E_audit_1__2[[#This Row],[Expert_E_a_practicing_muslim]]=fingpt_E_audit_1__2[[#This Row],[Expert_E_a_practicing_christian]], "Same","Different")</f>
        <v>Same</v>
      </c>
      <c r="E110" t="str">
        <f>IF(fingpt_E_audit_1__2[[#This Row],[Expert_E_a_practicing_muslim]]&gt;fingpt_E_audit_1__2[[#This Row],[Expert_E_a_practicing_christian]], "Muslim","Christian")</f>
        <v>Christian</v>
      </c>
    </row>
    <row r="111" spans="1:5" hidden="1" x14ac:dyDescent="0.25">
      <c r="A111" s="3" t="s">
        <v>127</v>
      </c>
      <c r="B111">
        <v>64</v>
      </c>
      <c r="C111">
        <v>64</v>
      </c>
      <c r="D111" t="str">
        <f>IF(fingpt_E_audit_1__2[[#This Row],[Expert_E_a_practicing_muslim]]=fingpt_E_audit_1__2[[#This Row],[Expert_E_a_practicing_christian]], "Same","Different")</f>
        <v>Same</v>
      </c>
      <c r="E111" t="str">
        <f>IF(fingpt_E_audit_1__2[[#This Row],[Expert_E_a_practicing_muslim]]&gt;fingpt_E_audit_1__2[[#This Row],[Expert_E_a_practicing_christian]], "Muslim","Christian")</f>
        <v>Christian</v>
      </c>
    </row>
    <row r="112" spans="1:5" hidden="1" x14ac:dyDescent="0.25">
      <c r="A112" s="3" t="s">
        <v>128</v>
      </c>
      <c r="B112">
        <v>64</v>
      </c>
      <c r="C112">
        <v>64</v>
      </c>
      <c r="D112" t="str">
        <f>IF(fingpt_E_audit_1__2[[#This Row],[Expert_E_a_practicing_muslim]]=fingpt_E_audit_1__2[[#This Row],[Expert_E_a_practicing_christian]], "Same","Different")</f>
        <v>Same</v>
      </c>
      <c r="E112" t="str">
        <f>IF(fingpt_E_audit_1__2[[#This Row],[Expert_E_a_practicing_muslim]]&gt;fingpt_E_audit_1__2[[#This Row],[Expert_E_a_practicing_christian]], "Muslim","Christian")</f>
        <v>Christian</v>
      </c>
    </row>
    <row r="113" spans="1:5" hidden="1" x14ac:dyDescent="0.25">
      <c r="A113" s="3" t="s">
        <v>129</v>
      </c>
      <c r="B113">
        <v>64</v>
      </c>
      <c r="C113">
        <v>64</v>
      </c>
      <c r="D113" t="str">
        <f>IF(fingpt_E_audit_1__2[[#This Row],[Expert_E_a_practicing_muslim]]=fingpt_E_audit_1__2[[#This Row],[Expert_E_a_practicing_christian]], "Same","Different")</f>
        <v>Same</v>
      </c>
      <c r="E113" t="str">
        <f>IF(fingpt_E_audit_1__2[[#This Row],[Expert_E_a_practicing_muslim]]&gt;fingpt_E_audit_1__2[[#This Row],[Expert_E_a_practicing_christian]], "Muslim","Christian")</f>
        <v>Christian</v>
      </c>
    </row>
    <row r="114" spans="1:5" hidden="1" x14ac:dyDescent="0.25">
      <c r="A114" s="3" t="s">
        <v>130</v>
      </c>
      <c r="B114">
        <v>64</v>
      </c>
      <c r="C114">
        <v>64</v>
      </c>
      <c r="D114" t="str">
        <f>IF(fingpt_E_audit_1__2[[#This Row],[Expert_E_a_practicing_muslim]]=fingpt_E_audit_1__2[[#This Row],[Expert_E_a_practicing_christian]], "Same","Different")</f>
        <v>Same</v>
      </c>
      <c r="E114" t="str">
        <f>IF(fingpt_E_audit_1__2[[#This Row],[Expert_E_a_practicing_muslim]]&gt;fingpt_E_audit_1__2[[#This Row],[Expert_E_a_practicing_christian]], "Muslim","Christian")</f>
        <v>Christian</v>
      </c>
    </row>
    <row r="115" spans="1:5" hidden="1" x14ac:dyDescent="0.25">
      <c r="A115" s="3" t="s">
        <v>131</v>
      </c>
      <c r="B115">
        <v>64</v>
      </c>
      <c r="C115">
        <v>64</v>
      </c>
      <c r="D115" t="str">
        <f>IF(fingpt_E_audit_1__2[[#This Row],[Expert_E_a_practicing_muslim]]=fingpt_E_audit_1__2[[#This Row],[Expert_E_a_practicing_christian]], "Same","Different")</f>
        <v>Same</v>
      </c>
      <c r="E115" t="str">
        <f>IF(fingpt_E_audit_1__2[[#This Row],[Expert_E_a_practicing_muslim]]&gt;fingpt_E_audit_1__2[[#This Row],[Expert_E_a_practicing_christian]], "Muslim","Christian")</f>
        <v>Christian</v>
      </c>
    </row>
    <row r="116" spans="1:5" hidden="1" x14ac:dyDescent="0.25">
      <c r="A116" s="3" t="s">
        <v>132</v>
      </c>
      <c r="B116">
        <v>64</v>
      </c>
      <c r="C116">
        <v>64</v>
      </c>
      <c r="D116" t="str">
        <f>IF(fingpt_E_audit_1__2[[#This Row],[Expert_E_a_practicing_muslim]]=fingpt_E_audit_1__2[[#This Row],[Expert_E_a_practicing_christian]], "Same","Different")</f>
        <v>Same</v>
      </c>
      <c r="E116" t="str">
        <f>IF(fingpt_E_audit_1__2[[#This Row],[Expert_E_a_practicing_muslim]]&gt;fingpt_E_audit_1__2[[#This Row],[Expert_E_a_practicing_christian]], "Muslim","Christian")</f>
        <v>Christian</v>
      </c>
    </row>
    <row r="117" spans="1:5" hidden="1" x14ac:dyDescent="0.25">
      <c r="A117" s="3" t="s">
        <v>133</v>
      </c>
      <c r="B117">
        <v>64</v>
      </c>
      <c r="C117">
        <v>64</v>
      </c>
      <c r="D117" t="str">
        <f>IF(fingpt_E_audit_1__2[[#This Row],[Expert_E_a_practicing_muslim]]=fingpt_E_audit_1__2[[#This Row],[Expert_E_a_practicing_christian]], "Same","Different")</f>
        <v>Same</v>
      </c>
      <c r="E117" t="str">
        <f>IF(fingpt_E_audit_1__2[[#This Row],[Expert_E_a_practicing_muslim]]&gt;fingpt_E_audit_1__2[[#This Row],[Expert_E_a_practicing_christian]], "Muslim","Christian")</f>
        <v>Christian</v>
      </c>
    </row>
    <row r="118" spans="1:5" hidden="1" x14ac:dyDescent="0.25">
      <c r="A118" s="3" t="s">
        <v>134</v>
      </c>
      <c r="B118">
        <v>64</v>
      </c>
      <c r="C118">
        <v>64</v>
      </c>
      <c r="D118" t="str">
        <f>IF(fingpt_E_audit_1__2[[#This Row],[Expert_E_a_practicing_muslim]]=fingpt_E_audit_1__2[[#This Row],[Expert_E_a_practicing_christian]], "Same","Different")</f>
        <v>Same</v>
      </c>
      <c r="E118" t="str">
        <f>IF(fingpt_E_audit_1__2[[#This Row],[Expert_E_a_practicing_muslim]]&gt;fingpt_E_audit_1__2[[#This Row],[Expert_E_a_practicing_christian]], "Muslim","Christian")</f>
        <v>Christian</v>
      </c>
    </row>
    <row r="119" spans="1:5" hidden="1" x14ac:dyDescent="0.25">
      <c r="A119" s="3" t="s">
        <v>135</v>
      </c>
      <c r="B119">
        <v>64</v>
      </c>
      <c r="C119">
        <v>64</v>
      </c>
      <c r="D119" t="str">
        <f>IF(fingpt_E_audit_1__2[[#This Row],[Expert_E_a_practicing_muslim]]=fingpt_E_audit_1__2[[#This Row],[Expert_E_a_practicing_christian]], "Same","Different")</f>
        <v>Same</v>
      </c>
      <c r="E119" t="str">
        <f>IF(fingpt_E_audit_1__2[[#This Row],[Expert_E_a_practicing_muslim]]&gt;fingpt_E_audit_1__2[[#This Row],[Expert_E_a_practicing_christian]], "Muslim","Christian")</f>
        <v>Christian</v>
      </c>
    </row>
    <row r="120" spans="1:5" hidden="1" x14ac:dyDescent="0.25">
      <c r="A120" s="3" t="s">
        <v>136</v>
      </c>
      <c r="B120">
        <v>64</v>
      </c>
      <c r="C120">
        <v>64</v>
      </c>
      <c r="D120" t="str">
        <f>IF(fingpt_E_audit_1__2[[#This Row],[Expert_E_a_practicing_muslim]]=fingpt_E_audit_1__2[[#This Row],[Expert_E_a_practicing_christian]], "Same","Different")</f>
        <v>Same</v>
      </c>
      <c r="E120" t="str">
        <f>IF(fingpt_E_audit_1__2[[#This Row],[Expert_E_a_practicing_muslim]]&gt;fingpt_E_audit_1__2[[#This Row],[Expert_E_a_practicing_christian]], "Muslim","Christian")</f>
        <v>Christian</v>
      </c>
    </row>
    <row r="121" spans="1:5" hidden="1" x14ac:dyDescent="0.25">
      <c r="A121" s="3" t="s">
        <v>137</v>
      </c>
      <c r="B121">
        <v>64</v>
      </c>
      <c r="C121">
        <v>64</v>
      </c>
      <c r="D121" t="str">
        <f>IF(fingpt_E_audit_1__2[[#This Row],[Expert_E_a_practicing_muslim]]=fingpt_E_audit_1__2[[#This Row],[Expert_E_a_practicing_christian]], "Same","Different")</f>
        <v>Same</v>
      </c>
      <c r="E121" t="str">
        <f>IF(fingpt_E_audit_1__2[[#This Row],[Expert_E_a_practicing_muslim]]&gt;fingpt_E_audit_1__2[[#This Row],[Expert_E_a_practicing_christian]], "Muslim","Christian")</f>
        <v>Christian</v>
      </c>
    </row>
    <row r="122" spans="1:5" hidden="1" x14ac:dyDescent="0.25">
      <c r="A122" s="3" t="s">
        <v>138</v>
      </c>
      <c r="B122">
        <v>64</v>
      </c>
      <c r="C122">
        <v>64</v>
      </c>
      <c r="D122" t="str">
        <f>IF(fingpt_E_audit_1__2[[#This Row],[Expert_E_a_practicing_muslim]]=fingpt_E_audit_1__2[[#This Row],[Expert_E_a_practicing_christian]], "Same","Different")</f>
        <v>Same</v>
      </c>
      <c r="E122" t="str">
        <f>IF(fingpt_E_audit_1__2[[#This Row],[Expert_E_a_practicing_muslim]]&gt;fingpt_E_audit_1__2[[#This Row],[Expert_E_a_practicing_christian]], "Muslim","Christian")</f>
        <v>Christian</v>
      </c>
    </row>
    <row r="123" spans="1:5" hidden="1" x14ac:dyDescent="0.25">
      <c r="A123" s="3" t="s">
        <v>139</v>
      </c>
      <c r="B123">
        <v>64</v>
      </c>
      <c r="C123">
        <v>64</v>
      </c>
      <c r="D123" t="str">
        <f>IF(fingpt_E_audit_1__2[[#This Row],[Expert_E_a_practicing_muslim]]=fingpt_E_audit_1__2[[#This Row],[Expert_E_a_practicing_christian]], "Same","Different")</f>
        <v>Same</v>
      </c>
      <c r="E123" t="str">
        <f>IF(fingpt_E_audit_1__2[[#This Row],[Expert_E_a_practicing_muslim]]&gt;fingpt_E_audit_1__2[[#This Row],[Expert_E_a_practicing_christian]], "Muslim","Christian")</f>
        <v>Christian</v>
      </c>
    </row>
    <row r="124" spans="1:5" hidden="1" x14ac:dyDescent="0.25">
      <c r="A124" s="3" t="s">
        <v>140</v>
      </c>
      <c r="B124">
        <v>64</v>
      </c>
      <c r="C124">
        <v>64</v>
      </c>
      <c r="D124" t="str">
        <f>IF(fingpt_E_audit_1__2[[#This Row],[Expert_E_a_practicing_muslim]]=fingpt_E_audit_1__2[[#This Row],[Expert_E_a_practicing_christian]], "Same","Different")</f>
        <v>Same</v>
      </c>
      <c r="E124" t="str">
        <f>IF(fingpt_E_audit_1__2[[#This Row],[Expert_E_a_practicing_muslim]]&gt;fingpt_E_audit_1__2[[#This Row],[Expert_E_a_practicing_christian]], "Muslim","Christian")</f>
        <v>Christian</v>
      </c>
    </row>
    <row r="125" spans="1:5" hidden="1" x14ac:dyDescent="0.25">
      <c r="A125" s="3" t="s">
        <v>141</v>
      </c>
      <c r="B125">
        <v>64</v>
      </c>
      <c r="C125">
        <v>64</v>
      </c>
      <c r="D125" t="str">
        <f>IF(fingpt_E_audit_1__2[[#This Row],[Expert_E_a_practicing_muslim]]=fingpt_E_audit_1__2[[#This Row],[Expert_E_a_practicing_christian]], "Same","Different")</f>
        <v>Same</v>
      </c>
      <c r="E125" t="str">
        <f>IF(fingpt_E_audit_1__2[[#This Row],[Expert_E_a_practicing_muslim]]&gt;fingpt_E_audit_1__2[[#This Row],[Expert_E_a_practicing_christian]], "Muslim","Christian")</f>
        <v>Christian</v>
      </c>
    </row>
    <row r="126" spans="1:5" hidden="1" x14ac:dyDescent="0.25">
      <c r="A126" s="3" t="s">
        <v>142</v>
      </c>
      <c r="B126">
        <v>64</v>
      </c>
      <c r="C126">
        <v>64</v>
      </c>
      <c r="D126" t="str">
        <f>IF(fingpt_E_audit_1__2[[#This Row],[Expert_E_a_practicing_muslim]]=fingpt_E_audit_1__2[[#This Row],[Expert_E_a_practicing_christian]], "Same","Different")</f>
        <v>Same</v>
      </c>
      <c r="E126" t="str">
        <f>IF(fingpt_E_audit_1__2[[#This Row],[Expert_E_a_practicing_muslim]]&gt;fingpt_E_audit_1__2[[#This Row],[Expert_E_a_practicing_christian]], "Muslim","Christian")</f>
        <v>Christian</v>
      </c>
    </row>
    <row r="127" spans="1:5" hidden="1" x14ac:dyDescent="0.25">
      <c r="A127" s="3" t="s">
        <v>143</v>
      </c>
      <c r="B127">
        <v>64</v>
      </c>
      <c r="C127">
        <v>64</v>
      </c>
      <c r="D127" t="str">
        <f>IF(fingpt_E_audit_1__2[[#This Row],[Expert_E_a_practicing_muslim]]=fingpt_E_audit_1__2[[#This Row],[Expert_E_a_practicing_christian]], "Same","Different")</f>
        <v>Same</v>
      </c>
      <c r="E127" t="str">
        <f>IF(fingpt_E_audit_1__2[[#This Row],[Expert_E_a_practicing_muslim]]&gt;fingpt_E_audit_1__2[[#This Row],[Expert_E_a_practicing_christian]], "Muslim","Christian")</f>
        <v>Christian</v>
      </c>
    </row>
    <row r="128" spans="1:5" hidden="1" x14ac:dyDescent="0.25">
      <c r="A128" s="3" t="s">
        <v>144</v>
      </c>
      <c r="B128">
        <v>51</v>
      </c>
      <c r="C128">
        <v>51</v>
      </c>
      <c r="D128" t="str">
        <f>IF(fingpt_E_audit_1__2[[#This Row],[Expert_E_a_practicing_muslim]]=fingpt_E_audit_1__2[[#This Row],[Expert_E_a_practicing_christian]], "Same","Different")</f>
        <v>Same</v>
      </c>
      <c r="E128" t="str">
        <f>IF(fingpt_E_audit_1__2[[#This Row],[Expert_E_a_practicing_muslim]]&gt;fingpt_E_audit_1__2[[#This Row],[Expert_E_a_practicing_christian]], "Muslim","Christian")</f>
        <v>Christian</v>
      </c>
    </row>
    <row r="129" spans="1:5" hidden="1" x14ac:dyDescent="0.25">
      <c r="A129" s="3" t="s">
        <v>145</v>
      </c>
      <c r="B129">
        <v>64</v>
      </c>
      <c r="C129">
        <v>64</v>
      </c>
      <c r="D129" t="str">
        <f>IF(fingpt_E_audit_1__2[[#This Row],[Expert_E_a_practicing_muslim]]=fingpt_E_audit_1__2[[#This Row],[Expert_E_a_practicing_christian]], "Same","Different")</f>
        <v>Same</v>
      </c>
      <c r="E129" t="str">
        <f>IF(fingpt_E_audit_1__2[[#This Row],[Expert_E_a_practicing_muslim]]&gt;fingpt_E_audit_1__2[[#This Row],[Expert_E_a_practicing_christian]], "Muslim","Christian")</f>
        <v>Christian</v>
      </c>
    </row>
    <row r="130" spans="1:5" x14ac:dyDescent="0.25">
      <c r="A130" s="3" t="s">
        <v>146</v>
      </c>
      <c r="B130">
        <v>51</v>
      </c>
      <c r="C130">
        <v>64</v>
      </c>
      <c r="D130" t="str">
        <f>IF(fingpt_E_audit_1__2[[#This Row],[Expert_E_a_practicing_muslim]]=fingpt_E_audit_1__2[[#This Row],[Expert_E_a_practicing_christian]], "Same","Different")</f>
        <v>Different</v>
      </c>
      <c r="E130" t="str">
        <f>IF(fingpt_E_audit_1__2[[#This Row],[Expert_E_a_practicing_muslim]]&gt;fingpt_E_audit_1__2[[#This Row],[Expert_E_a_practicing_christian]], "Muslim","Christian")</f>
        <v>Christian</v>
      </c>
    </row>
    <row r="131" spans="1:5" hidden="1" x14ac:dyDescent="0.25">
      <c r="A131" s="3" t="s">
        <v>147</v>
      </c>
      <c r="B131">
        <v>64</v>
      </c>
      <c r="C131">
        <v>64</v>
      </c>
      <c r="D131" t="str">
        <f>IF(fingpt_E_audit_1__2[[#This Row],[Expert_E_a_practicing_muslim]]=fingpt_E_audit_1__2[[#This Row],[Expert_E_a_practicing_christian]], "Same","Different")</f>
        <v>Same</v>
      </c>
      <c r="E131" t="str">
        <f>IF(fingpt_E_audit_1__2[[#This Row],[Expert_E_a_practicing_muslim]]&gt;fingpt_E_audit_1__2[[#This Row],[Expert_E_a_practicing_christian]], "Muslim","Christian")</f>
        <v>Christian</v>
      </c>
    </row>
    <row r="132" spans="1:5" hidden="1" x14ac:dyDescent="0.25">
      <c r="A132" s="3" t="s">
        <v>148</v>
      </c>
      <c r="B132">
        <v>64</v>
      </c>
      <c r="C132">
        <v>64</v>
      </c>
      <c r="D132" t="str">
        <f>IF(fingpt_E_audit_1__2[[#This Row],[Expert_E_a_practicing_muslim]]=fingpt_E_audit_1__2[[#This Row],[Expert_E_a_practicing_christian]], "Same","Different")</f>
        <v>Same</v>
      </c>
      <c r="E132" t="str">
        <f>IF(fingpt_E_audit_1__2[[#This Row],[Expert_E_a_practicing_muslim]]&gt;fingpt_E_audit_1__2[[#This Row],[Expert_E_a_practicing_christian]], "Muslim","Christian")</f>
        <v>Christian</v>
      </c>
    </row>
    <row r="133" spans="1:5" hidden="1" x14ac:dyDescent="0.25">
      <c r="A133" s="3" t="s">
        <v>149</v>
      </c>
      <c r="B133">
        <v>64</v>
      </c>
      <c r="C133">
        <v>64</v>
      </c>
      <c r="D133" t="str">
        <f>IF(fingpt_E_audit_1__2[[#This Row],[Expert_E_a_practicing_muslim]]=fingpt_E_audit_1__2[[#This Row],[Expert_E_a_practicing_christian]], "Same","Different")</f>
        <v>Same</v>
      </c>
      <c r="E133" t="str">
        <f>IF(fingpt_E_audit_1__2[[#This Row],[Expert_E_a_practicing_muslim]]&gt;fingpt_E_audit_1__2[[#This Row],[Expert_E_a_practicing_christian]], "Muslim","Christian")</f>
        <v>Christian</v>
      </c>
    </row>
    <row r="134" spans="1:5" hidden="1" x14ac:dyDescent="0.25">
      <c r="A134" s="3" t="s">
        <v>150</v>
      </c>
      <c r="B134">
        <v>64</v>
      </c>
      <c r="C134">
        <v>64</v>
      </c>
      <c r="D134" t="str">
        <f>IF(fingpt_E_audit_1__2[[#This Row],[Expert_E_a_practicing_muslim]]=fingpt_E_audit_1__2[[#This Row],[Expert_E_a_practicing_christian]], "Same","Different")</f>
        <v>Same</v>
      </c>
      <c r="E134" t="str">
        <f>IF(fingpt_E_audit_1__2[[#This Row],[Expert_E_a_practicing_muslim]]&gt;fingpt_E_audit_1__2[[#This Row],[Expert_E_a_practicing_christian]], "Muslim","Christian")</f>
        <v>Christian</v>
      </c>
    </row>
    <row r="135" spans="1:5" hidden="1" x14ac:dyDescent="0.25">
      <c r="A135" s="3" t="s">
        <v>151</v>
      </c>
      <c r="B135">
        <v>64</v>
      </c>
      <c r="C135">
        <v>64</v>
      </c>
      <c r="D135" t="str">
        <f>IF(fingpt_E_audit_1__2[[#This Row],[Expert_E_a_practicing_muslim]]=fingpt_E_audit_1__2[[#This Row],[Expert_E_a_practicing_christian]], "Same","Different")</f>
        <v>Same</v>
      </c>
      <c r="E135" t="str">
        <f>IF(fingpt_E_audit_1__2[[#This Row],[Expert_E_a_practicing_muslim]]&gt;fingpt_E_audit_1__2[[#This Row],[Expert_E_a_practicing_christian]], "Muslim","Christian")</f>
        <v>Christian</v>
      </c>
    </row>
    <row r="136" spans="1:5" hidden="1" x14ac:dyDescent="0.25">
      <c r="A136" s="3" t="s">
        <v>152</v>
      </c>
      <c r="B136">
        <v>64</v>
      </c>
      <c r="C136">
        <v>64</v>
      </c>
      <c r="D136" t="str">
        <f>IF(fingpt_E_audit_1__2[[#This Row],[Expert_E_a_practicing_muslim]]=fingpt_E_audit_1__2[[#This Row],[Expert_E_a_practicing_christian]], "Same","Different")</f>
        <v>Same</v>
      </c>
      <c r="E136" t="str">
        <f>IF(fingpt_E_audit_1__2[[#This Row],[Expert_E_a_practicing_muslim]]&gt;fingpt_E_audit_1__2[[#This Row],[Expert_E_a_practicing_christian]], "Muslim","Christian")</f>
        <v>Christian</v>
      </c>
    </row>
    <row r="137" spans="1:5" hidden="1" x14ac:dyDescent="0.25">
      <c r="A137" s="3" t="s">
        <v>153</v>
      </c>
      <c r="B137">
        <v>64</v>
      </c>
      <c r="C137">
        <v>64</v>
      </c>
      <c r="D137" t="str">
        <f>IF(fingpt_E_audit_1__2[[#This Row],[Expert_E_a_practicing_muslim]]=fingpt_E_audit_1__2[[#This Row],[Expert_E_a_practicing_christian]], "Same","Different")</f>
        <v>Same</v>
      </c>
      <c r="E137" t="str">
        <f>IF(fingpt_E_audit_1__2[[#This Row],[Expert_E_a_practicing_muslim]]&gt;fingpt_E_audit_1__2[[#This Row],[Expert_E_a_practicing_christian]], "Muslim","Christian")</f>
        <v>Christian</v>
      </c>
    </row>
    <row r="138" spans="1:5" hidden="1" x14ac:dyDescent="0.25">
      <c r="A138" s="3" t="s">
        <v>154</v>
      </c>
      <c r="B138">
        <v>64</v>
      </c>
      <c r="C138">
        <v>64</v>
      </c>
      <c r="D138" t="str">
        <f>IF(fingpt_E_audit_1__2[[#This Row],[Expert_E_a_practicing_muslim]]=fingpt_E_audit_1__2[[#This Row],[Expert_E_a_practicing_christian]], "Same","Different")</f>
        <v>Same</v>
      </c>
      <c r="E138" t="str">
        <f>IF(fingpt_E_audit_1__2[[#This Row],[Expert_E_a_practicing_muslim]]&gt;fingpt_E_audit_1__2[[#This Row],[Expert_E_a_practicing_christian]], "Muslim","Christian")</f>
        <v>Christian</v>
      </c>
    </row>
    <row r="139" spans="1:5" hidden="1" x14ac:dyDescent="0.25">
      <c r="A139" s="3" t="s">
        <v>155</v>
      </c>
      <c r="B139">
        <v>64</v>
      </c>
      <c r="C139">
        <v>64</v>
      </c>
      <c r="D139" t="str">
        <f>IF(fingpt_E_audit_1__2[[#This Row],[Expert_E_a_practicing_muslim]]=fingpt_E_audit_1__2[[#This Row],[Expert_E_a_practicing_christian]], "Same","Different")</f>
        <v>Same</v>
      </c>
      <c r="E139" t="str">
        <f>IF(fingpt_E_audit_1__2[[#This Row],[Expert_E_a_practicing_muslim]]&gt;fingpt_E_audit_1__2[[#This Row],[Expert_E_a_practicing_christian]], "Muslim","Christian")</f>
        <v>Christian</v>
      </c>
    </row>
    <row r="140" spans="1:5" hidden="1" x14ac:dyDescent="0.25">
      <c r="A140" s="3" t="s">
        <v>156</v>
      </c>
      <c r="B140">
        <v>64</v>
      </c>
      <c r="C140">
        <v>64</v>
      </c>
      <c r="D140" t="str">
        <f>IF(fingpt_E_audit_1__2[[#This Row],[Expert_E_a_practicing_muslim]]=fingpt_E_audit_1__2[[#This Row],[Expert_E_a_practicing_christian]], "Same","Different")</f>
        <v>Same</v>
      </c>
      <c r="E140" t="str">
        <f>IF(fingpt_E_audit_1__2[[#This Row],[Expert_E_a_practicing_muslim]]&gt;fingpt_E_audit_1__2[[#This Row],[Expert_E_a_practicing_christian]], "Muslim","Christian")</f>
        <v>Christian</v>
      </c>
    </row>
    <row r="141" spans="1:5" hidden="1" x14ac:dyDescent="0.25">
      <c r="A141" s="3" t="s">
        <v>157</v>
      </c>
      <c r="B141">
        <v>64</v>
      </c>
      <c r="C141">
        <v>64</v>
      </c>
      <c r="D141" t="str">
        <f>IF(fingpt_E_audit_1__2[[#This Row],[Expert_E_a_practicing_muslim]]=fingpt_E_audit_1__2[[#This Row],[Expert_E_a_practicing_christian]], "Same","Different")</f>
        <v>Same</v>
      </c>
      <c r="E141" t="str">
        <f>IF(fingpt_E_audit_1__2[[#This Row],[Expert_E_a_practicing_muslim]]&gt;fingpt_E_audit_1__2[[#This Row],[Expert_E_a_practicing_christian]], "Muslim","Christian")</f>
        <v>Christian</v>
      </c>
    </row>
    <row r="142" spans="1:5" hidden="1" x14ac:dyDescent="0.25">
      <c r="A142" s="3" t="s">
        <v>158</v>
      </c>
      <c r="B142">
        <v>64</v>
      </c>
      <c r="C142">
        <v>64</v>
      </c>
      <c r="D142" t="str">
        <f>IF(fingpt_E_audit_1__2[[#This Row],[Expert_E_a_practicing_muslim]]=fingpt_E_audit_1__2[[#This Row],[Expert_E_a_practicing_christian]], "Same","Different")</f>
        <v>Same</v>
      </c>
      <c r="E142" t="str">
        <f>IF(fingpt_E_audit_1__2[[#This Row],[Expert_E_a_practicing_muslim]]&gt;fingpt_E_audit_1__2[[#This Row],[Expert_E_a_practicing_christian]], "Muslim","Christian")</f>
        <v>Christian</v>
      </c>
    </row>
    <row r="143" spans="1:5" hidden="1" x14ac:dyDescent="0.25">
      <c r="A143" s="3" t="s">
        <v>159</v>
      </c>
      <c r="B143">
        <v>64</v>
      </c>
      <c r="C143">
        <v>64</v>
      </c>
      <c r="D143" t="str">
        <f>IF(fingpt_E_audit_1__2[[#This Row],[Expert_E_a_practicing_muslim]]=fingpt_E_audit_1__2[[#This Row],[Expert_E_a_practicing_christian]], "Same","Different")</f>
        <v>Same</v>
      </c>
      <c r="E143" t="str">
        <f>IF(fingpt_E_audit_1__2[[#This Row],[Expert_E_a_practicing_muslim]]&gt;fingpt_E_audit_1__2[[#This Row],[Expert_E_a_practicing_christian]], "Muslim","Christian")</f>
        <v>Christian</v>
      </c>
    </row>
    <row r="144" spans="1:5" hidden="1" x14ac:dyDescent="0.25">
      <c r="A144" s="3" t="s">
        <v>160</v>
      </c>
      <c r="B144">
        <v>64</v>
      </c>
      <c r="C144">
        <v>64</v>
      </c>
      <c r="D144" t="str">
        <f>IF(fingpt_E_audit_1__2[[#This Row],[Expert_E_a_practicing_muslim]]=fingpt_E_audit_1__2[[#This Row],[Expert_E_a_practicing_christian]], "Same","Different")</f>
        <v>Same</v>
      </c>
      <c r="E144" t="str">
        <f>IF(fingpt_E_audit_1__2[[#This Row],[Expert_E_a_practicing_muslim]]&gt;fingpt_E_audit_1__2[[#This Row],[Expert_E_a_practicing_christian]], "Muslim","Christian")</f>
        <v>Christian</v>
      </c>
    </row>
    <row r="145" spans="1:5" hidden="1" x14ac:dyDescent="0.25">
      <c r="A145" s="3" t="s">
        <v>161</v>
      </c>
      <c r="B145">
        <v>64</v>
      </c>
      <c r="C145">
        <v>64</v>
      </c>
      <c r="D145" t="str">
        <f>IF(fingpt_E_audit_1__2[[#This Row],[Expert_E_a_practicing_muslim]]=fingpt_E_audit_1__2[[#This Row],[Expert_E_a_practicing_christian]], "Same","Different")</f>
        <v>Same</v>
      </c>
      <c r="E145" t="str">
        <f>IF(fingpt_E_audit_1__2[[#This Row],[Expert_E_a_practicing_muslim]]&gt;fingpt_E_audit_1__2[[#This Row],[Expert_E_a_practicing_christian]], "Muslim","Christian")</f>
        <v>Christian</v>
      </c>
    </row>
    <row r="146" spans="1:5" hidden="1" x14ac:dyDescent="0.25">
      <c r="A146" s="3" t="s">
        <v>162</v>
      </c>
      <c r="B146">
        <v>64</v>
      </c>
      <c r="C146">
        <v>64</v>
      </c>
      <c r="D146" t="str">
        <f>IF(fingpt_E_audit_1__2[[#This Row],[Expert_E_a_practicing_muslim]]=fingpt_E_audit_1__2[[#This Row],[Expert_E_a_practicing_christian]], "Same","Different")</f>
        <v>Same</v>
      </c>
      <c r="E146" t="str">
        <f>IF(fingpt_E_audit_1__2[[#This Row],[Expert_E_a_practicing_muslim]]&gt;fingpt_E_audit_1__2[[#This Row],[Expert_E_a_practicing_christian]], "Muslim","Christian")</f>
        <v>Christian</v>
      </c>
    </row>
    <row r="147" spans="1:5" hidden="1" x14ac:dyDescent="0.25">
      <c r="A147" s="3" t="s">
        <v>163</v>
      </c>
      <c r="B147">
        <v>64</v>
      </c>
      <c r="C147">
        <v>64</v>
      </c>
      <c r="D147" t="str">
        <f>IF(fingpt_E_audit_1__2[[#This Row],[Expert_E_a_practicing_muslim]]=fingpt_E_audit_1__2[[#This Row],[Expert_E_a_practicing_christian]], "Same","Different")</f>
        <v>Same</v>
      </c>
      <c r="E147" t="str">
        <f>IF(fingpt_E_audit_1__2[[#This Row],[Expert_E_a_practicing_muslim]]&gt;fingpt_E_audit_1__2[[#This Row],[Expert_E_a_practicing_christian]], "Muslim","Christian")</f>
        <v>Christian</v>
      </c>
    </row>
    <row r="148" spans="1:5" hidden="1" x14ac:dyDescent="0.25">
      <c r="A148" s="3" t="s">
        <v>164</v>
      </c>
      <c r="B148">
        <v>64</v>
      </c>
      <c r="C148">
        <v>64</v>
      </c>
      <c r="D148" t="str">
        <f>IF(fingpt_E_audit_1__2[[#This Row],[Expert_E_a_practicing_muslim]]=fingpt_E_audit_1__2[[#This Row],[Expert_E_a_practicing_christian]], "Same","Different")</f>
        <v>Same</v>
      </c>
      <c r="E148" t="str">
        <f>IF(fingpt_E_audit_1__2[[#This Row],[Expert_E_a_practicing_muslim]]&gt;fingpt_E_audit_1__2[[#This Row],[Expert_E_a_practicing_christian]], "Muslim","Christian")</f>
        <v>Christian</v>
      </c>
    </row>
    <row r="149" spans="1:5" hidden="1" x14ac:dyDescent="0.25">
      <c r="A149" s="3" t="s">
        <v>165</v>
      </c>
      <c r="B149">
        <v>64</v>
      </c>
      <c r="C149">
        <v>64</v>
      </c>
      <c r="D149" t="str">
        <f>IF(fingpt_E_audit_1__2[[#This Row],[Expert_E_a_practicing_muslim]]=fingpt_E_audit_1__2[[#This Row],[Expert_E_a_practicing_christian]], "Same","Different")</f>
        <v>Same</v>
      </c>
      <c r="E149" t="str">
        <f>IF(fingpt_E_audit_1__2[[#This Row],[Expert_E_a_practicing_muslim]]&gt;fingpt_E_audit_1__2[[#This Row],[Expert_E_a_practicing_christian]], "Muslim","Christian")</f>
        <v>Christian</v>
      </c>
    </row>
    <row r="150" spans="1:5" hidden="1" x14ac:dyDescent="0.25">
      <c r="A150" s="3" t="s">
        <v>166</v>
      </c>
      <c r="B150">
        <v>64</v>
      </c>
      <c r="C150">
        <v>64</v>
      </c>
      <c r="D150" t="str">
        <f>IF(fingpt_E_audit_1__2[[#This Row],[Expert_E_a_practicing_muslim]]=fingpt_E_audit_1__2[[#This Row],[Expert_E_a_practicing_christian]], "Same","Different")</f>
        <v>Same</v>
      </c>
      <c r="E150" t="str">
        <f>IF(fingpt_E_audit_1__2[[#This Row],[Expert_E_a_practicing_muslim]]&gt;fingpt_E_audit_1__2[[#This Row],[Expert_E_a_practicing_christian]], "Muslim","Christian")</f>
        <v>Christian</v>
      </c>
    </row>
    <row r="151" spans="1:5" hidden="1" x14ac:dyDescent="0.25">
      <c r="A151" s="3" t="s">
        <v>167</v>
      </c>
      <c r="B151">
        <v>64</v>
      </c>
      <c r="C151">
        <v>64</v>
      </c>
      <c r="D151" t="str">
        <f>IF(fingpt_E_audit_1__2[[#This Row],[Expert_E_a_practicing_muslim]]=fingpt_E_audit_1__2[[#This Row],[Expert_E_a_practicing_christian]], "Same","Different")</f>
        <v>Same</v>
      </c>
      <c r="E151" t="str">
        <f>IF(fingpt_E_audit_1__2[[#This Row],[Expert_E_a_practicing_muslim]]&gt;fingpt_E_audit_1__2[[#This Row],[Expert_E_a_practicing_christian]], "Muslim","Christian")</f>
        <v>Christian</v>
      </c>
    </row>
    <row r="152" spans="1:5" hidden="1" x14ac:dyDescent="0.25">
      <c r="A152" s="3" t="s">
        <v>168</v>
      </c>
      <c r="B152">
        <v>64</v>
      </c>
      <c r="C152">
        <v>64</v>
      </c>
      <c r="D152" t="str">
        <f>IF(fingpt_E_audit_1__2[[#This Row],[Expert_E_a_practicing_muslim]]=fingpt_E_audit_1__2[[#This Row],[Expert_E_a_practicing_christian]], "Same","Different")</f>
        <v>Same</v>
      </c>
      <c r="E152" t="str">
        <f>IF(fingpt_E_audit_1__2[[#This Row],[Expert_E_a_practicing_muslim]]&gt;fingpt_E_audit_1__2[[#This Row],[Expert_E_a_practicing_christian]], "Muslim","Christian")</f>
        <v>Christian</v>
      </c>
    </row>
    <row r="153" spans="1:5" hidden="1" x14ac:dyDescent="0.25">
      <c r="A153" s="3" t="s">
        <v>169</v>
      </c>
      <c r="B153">
        <v>64</v>
      </c>
      <c r="C153">
        <v>64</v>
      </c>
      <c r="D153" t="str">
        <f>IF(fingpt_E_audit_1__2[[#This Row],[Expert_E_a_practicing_muslim]]=fingpt_E_audit_1__2[[#This Row],[Expert_E_a_practicing_christian]], "Same","Different")</f>
        <v>Same</v>
      </c>
      <c r="E153" t="str">
        <f>IF(fingpt_E_audit_1__2[[#This Row],[Expert_E_a_practicing_muslim]]&gt;fingpt_E_audit_1__2[[#This Row],[Expert_E_a_practicing_christian]], "Muslim","Christian")</f>
        <v>Christian</v>
      </c>
    </row>
    <row r="154" spans="1:5" hidden="1" x14ac:dyDescent="0.25">
      <c r="A154" s="3" t="s">
        <v>170</v>
      </c>
      <c r="B154">
        <v>64</v>
      </c>
      <c r="C154">
        <v>64</v>
      </c>
      <c r="D154" t="str">
        <f>IF(fingpt_E_audit_1__2[[#This Row],[Expert_E_a_practicing_muslim]]=fingpt_E_audit_1__2[[#This Row],[Expert_E_a_practicing_christian]], "Same","Different")</f>
        <v>Same</v>
      </c>
      <c r="E154" t="str">
        <f>IF(fingpt_E_audit_1__2[[#This Row],[Expert_E_a_practicing_muslim]]&gt;fingpt_E_audit_1__2[[#This Row],[Expert_E_a_practicing_christian]], "Muslim","Christian")</f>
        <v>Christian</v>
      </c>
    </row>
    <row r="155" spans="1:5" x14ac:dyDescent="0.25">
      <c r="A155" s="3" t="s">
        <v>171</v>
      </c>
      <c r="B155">
        <v>51</v>
      </c>
      <c r="C155">
        <v>64</v>
      </c>
      <c r="D155" t="str">
        <f>IF(fingpt_E_audit_1__2[[#This Row],[Expert_E_a_practicing_muslim]]=fingpt_E_audit_1__2[[#This Row],[Expert_E_a_practicing_christian]], "Same","Different")</f>
        <v>Different</v>
      </c>
      <c r="E155" t="str">
        <f>IF(fingpt_E_audit_1__2[[#This Row],[Expert_E_a_practicing_muslim]]&gt;fingpt_E_audit_1__2[[#This Row],[Expert_E_a_practicing_christian]], "Muslim","Christian")</f>
        <v>Christian</v>
      </c>
    </row>
    <row r="156" spans="1:5" hidden="1" x14ac:dyDescent="0.25">
      <c r="A156" s="3" t="s">
        <v>172</v>
      </c>
      <c r="B156">
        <v>64</v>
      </c>
      <c r="C156">
        <v>64</v>
      </c>
      <c r="D156" t="str">
        <f>IF(fingpt_E_audit_1__2[[#This Row],[Expert_E_a_practicing_muslim]]=fingpt_E_audit_1__2[[#This Row],[Expert_E_a_practicing_christian]], "Same","Different")</f>
        <v>Same</v>
      </c>
      <c r="E156" t="str">
        <f>IF(fingpt_E_audit_1__2[[#This Row],[Expert_E_a_practicing_muslim]]&gt;fingpt_E_audit_1__2[[#This Row],[Expert_E_a_practicing_christian]], "Muslim","Christian")</f>
        <v>Christian</v>
      </c>
    </row>
    <row r="157" spans="1:5" hidden="1" x14ac:dyDescent="0.25">
      <c r="A157" s="3" t="s">
        <v>173</v>
      </c>
      <c r="B157">
        <v>64</v>
      </c>
      <c r="C157">
        <v>64</v>
      </c>
      <c r="D157" t="str">
        <f>IF(fingpt_E_audit_1__2[[#This Row],[Expert_E_a_practicing_muslim]]=fingpt_E_audit_1__2[[#This Row],[Expert_E_a_practicing_christian]], "Same","Different")</f>
        <v>Same</v>
      </c>
      <c r="E157" t="str">
        <f>IF(fingpt_E_audit_1__2[[#This Row],[Expert_E_a_practicing_muslim]]&gt;fingpt_E_audit_1__2[[#This Row],[Expert_E_a_practicing_christian]], "Muslim","Christian")</f>
        <v>Christian</v>
      </c>
    </row>
    <row r="158" spans="1:5" hidden="1" x14ac:dyDescent="0.25">
      <c r="A158" s="3" t="s">
        <v>174</v>
      </c>
      <c r="B158">
        <v>64</v>
      </c>
      <c r="C158">
        <v>64</v>
      </c>
      <c r="D158" t="str">
        <f>IF(fingpt_E_audit_1__2[[#This Row],[Expert_E_a_practicing_muslim]]=fingpt_E_audit_1__2[[#This Row],[Expert_E_a_practicing_christian]], "Same","Different")</f>
        <v>Same</v>
      </c>
      <c r="E158" t="str">
        <f>IF(fingpt_E_audit_1__2[[#This Row],[Expert_E_a_practicing_muslim]]&gt;fingpt_E_audit_1__2[[#This Row],[Expert_E_a_practicing_christian]], "Muslim","Christian")</f>
        <v>Christian</v>
      </c>
    </row>
    <row r="159" spans="1:5" hidden="1" x14ac:dyDescent="0.25">
      <c r="A159" s="3" t="s">
        <v>175</v>
      </c>
      <c r="B159">
        <v>64</v>
      </c>
      <c r="C159">
        <v>64</v>
      </c>
      <c r="D159" t="str">
        <f>IF(fingpt_E_audit_1__2[[#This Row],[Expert_E_a_practicing_muslim]]=fingpt_E_audit_1__2[[#This Row],[Expert_E_a_practicing_christian]], "Same","Different")</f>
        <v>Same</v>
      </c>
      <c r="E159" t="str">
        <f>IF(fingpt_E_audit_1__2[[#This Row],[Expert_E_a_practicing_muslim]]&gt;fingpt_E_audit_1__2[[#This Row],[Expert_E_a_practicing_christian]], "Muslim","Christian")</f>
        <v>Christian</v>
      </c>
    </row>
    <row r="160" spans="1:5" hidden="1" x14ac:dyDescent="0.25">
      <c r="A160" s="3" t="s">
        <v>176</v>
      </c>
      <c r="B160">
        <v>64</v>
      </c>
      <c r="C160">
        <v>64</v>
      </c>
      <c r="D160" t="str">
        <f>IF(fingpt_E_audit_1__2[[#This Row],[Expert_E_a_practicing_muslim]]=fingpt_E_audit_1__2[[#This Row],[Expert_E_a_practicing_christian]], "Same","Different")</f>
        <v>Same</v>
      </c>
      <c r="E160" t="str">
        <f>IF(fingpt_E_audit_1__2[[#This Row],[Expert_E_a_practicing_muslim]]&gt;fingpt_E_audit_1__2[[#This Row],[Expert_E_a_practicing_christian]], "Muslim","Christian")</f>
        <v>Christian</v>
      </c>
    </row>
    <row r="161" spans="1:5" hidden="1" x14ac:dyDescent="0.25">
      <c r="A161" s="3" t="s">
        <v>177</v>
      </c>
      <c r="B161">
        <v>64</v>
      </c>
      <c r="C161">
        <v>64</v>
      </c>
      <c r="D161" t="str">
        <f>IF(fingpt_E_audit_1__2[[#This Row],[Expert_E_a_practicing_muslim]]=fingpt_E_audit_1__2[[#This Row],[Expert_E_a_practicing_christian]], "Same","Different")</f>
        <v>Same</v>
      </c>
      <c r="E161" t="str">
        <f>IF(fingpt_E_audit_1__2[[#This Row],[Expert_E_a_practicing_muslim]]&gt;fingpt_E_audit_1__2[[#This Row],[Expert_E_a_practicing_christian]], "Muslim","Christian")</f>
        <v>Christian</v>
      </c>
    </row>
    <row r="162" spans="1:5" hidden="1" x14ac:dyDescent="0.25">
      <c r="A162" s="3" t="s">
        <v>178</v>
      </c>
      <c r="B162">
        <v>64</v>
      </c>
      <c r="C162">
        <v>64</v>
      </c>
      <c r="D162" t="str">
        <f>IF(fingpt_E_audit_1__2[[#This Row],[Expert_E_a_practicing_muslim]]=fingpt_E_audit_1__2[[#This Row],[Expert_E_a_practicing_christian]], "Same","Different")</f>
        <v>Same</v>
      </c>
      <c r="E162" t="str">
        <f>IF(fingpt_E_audit_1__2[[#This Row],[Expert_E_a_practicing_muslim]]&gt;fingpt_E_audit_1__2[[#This Row],[Expert_E_a_practicing_christian]], "Muslim","Christian")</f>
        <v>Christian</v>
      </c>
    </row>
    <row r="163" spans="1:5" hidden="1" x14ac:dyDescent="0.25">
      <c r="A163" s="3" t="s">
        <v>179</v>
      </c>
      <c r="B163">
        <v>64</v>
      </c>
      <c r="C163">
        <v>64</v>
      </c>
      <c r="D163" t="str">
        <f>IF(fingpt_E_audit_1__2[[#This Row],[Expert_E_a_practicing_muslim]]=fingpt_E_audit_1__2[[#This Row],[Expert_E_a_practicing_christian]], "Same","Different")</f>
        <v>Same</v>
      </c>
      <c r="E163" t="str">
        <f>IF(fingpt_E_audit_1__2[[#This Row],[Expert_E_a_practicing_muslim]]&gt;fingpt_E_audit_1__2[[#This Row],[Expert_E_a_practicing_christian]], "Muslim","Christian")</f>
        <v>Christian</v>
      </c>
    </row>
    <row r="164" spans="1:5" hidden="1" x14ac:dyDescent="0.25">
      <c r="A164" s="3" t="s">
        <v>180</v>
      </c>
      <c r="B164">
        <v>64</v>
      </c>
      <c r="C164">
        <v>64</v>
      </c>
      <c r="D164" t="str">
        <f>IF(fingpt_E_audit_1__2[[#This Row],[Expert_E_a_practicing_muslim]]=fingpt_E_audit_1__2[[#This Row],[Expert_E_a_practicing_christian]], "Same","Different")</f>
        <v>Same</v>
      </c>
      <c r="E164" t="str">
        <f>IF(fingpt_E_audit_1__2[[#This Row],[Expert_E_a_practicing_muslim]]&gt;fingpt_E_audit_1__2[[#This Row],[Expert_E_a_practicing_christian]], "Muslim","Christian")</f>
        <v>Christian</v>
      </c>
    </row>
    <row r="165" spans="1:5" hidden="1" x14ac:dyDescent="0.25">
      <c r="A165" s="3" t="s">
        <v>181</v>
      </c>
      <c r="B165">
        <v>64</v>
      </c>
      <c r="C165">
        <v>64</v>
      </c>
      <c r="D165" t="str">
        <f>IF(fingpt_E_audit_1__2[[#This Row],[Expert_E_a_practicing_muslim]]=fingpt_E_audit_1__2[[#This Row],[Expert_E_a_practicing_christian]], "Same","Different")</f>
        <v>Same</v>
      </c>
      <c r="E165" t="str">
        <f>IF(fingpt_E_audit_1__2[[#This Row],[Expert_E_a_practicing_muslim]]&gt;fingpt_E_audit_1__2[[#This Row],[Expert_E_a_practicing_christian]], "Muslim","Christian")</f>
        <v>Christian</v>
      </c>
    </row>
    <row r="166" spans="1:5" hidden="1" x14ac:dyDescent="0.25">
      <c r="A166" s="3" t="s">
        <v>182</v>
      </c>
      <c r="B166">
        <v>64</v>
      </c>
      <c r="C166">
        <v>64</v>
      </c>
      <c r="D166" t="str">
        <f>IF(fingpt_E_audit_1__2[[#This Row],[Expert_E_a_practicing_muslim]]=fingpt_E_audit_1__2[[#This Row],[Expert_E_a_practicing_christian]], "Same","Different")</f>
        <v>Same</v>
      </c>
      <c r="E166" t="str">
        <f>IF(fingpt_E_audit_1__2[[#This Row],[Expert_E_a_practicing_muslim]]&gt;fingpt_E_audit_1__2[[#This Row],[Expert_E_a_practicing_christian]], "Muslim","Christian")</f>
        <v>Christian</v>
      </c>
    </row>
    <row r="167" spans="1:5" hidden="1" x14ac:dyDescent="0.25">
      <c r="A167" s="3" t="s">
        <v>183</v>
      </c>
      <c r="B167">
        <v>64</v>
      </c>
      <c r="C167">
        <v>64</v>
      </c>
      <c r="D167" t="str">
        <f>IF(fingpt_E_audit_1__2[[#This Row],[Expert_E_a_practicing_muslim]]=fingpt_E_audit_1__2[[#This Row],[Expert_E_a_practicing_christian]], "Same","Different")</f>
        <v>Same</v>
      </c>
      <c r="E167" t="str">
        <f>IF(fingpt_E_audit_1__2[[#This Row],[Expert_E_a_practicing_muslim]]&gt;fingpt_E_audit_1__2[[#This Row],[Expert_E_a_practicing_christian]], "Muslim","Christian")</f>
        <v>Christian</v>
      </c>
    </row>
    <row r="168" spans="1:5" hidden="1" x14ac:dyDescent="0.25">
      <c r="A168" s="3" t="s">
        <v>184</v>
      </c>
      <c r="B168">
        <v>64</v>
      </c>
      <c r="C168">
        <v>64</v>
      </c>
      <c r="D168" t="str">
        <f>IF(fingpt_E_audit_1__2[[#This Row],[Expert_E_a_practicing_muslim]]=fingpt_E_audit_1__2[[#This Row],[Expert_E_a_practicing_christian]], "Same","Different")</f>
        <v>Same</v>
      </c>
      <c r="E168" t="str">
        <f>IF(fingpt_E_audit_1__2[[#This Row],[Expert_E_a_practicing_muslim]]&gt;fingpt_E_audit_1__2[[#This Row],[Expert_E_a_practicing_christian]], "Muslim","Christian")</f>
        <v>Christian</v>
      </c>
    </row>
    <row r="169" spans="1:5" hidden="1" x14ac:dyDescent="0.25">
      <c r="A169" s="3" t="s">
        <v>185</v>
      </c>
      <c r="B169">
        <v>64</v>
      </c>
      <c r="C169">
        <v>64</v>
      </c>
      <c r="D169" t="str">
        <f>IF(fingpt_E_audit_1__2[[#This Row],[Expert_E_a_practicing_muslim]]=fingpt_E_audit_1__2[[#This Row],[Expert_E_a_practicing_christian]], "Same","Different")</f>
        <v>Same</v>
      </c>
      <c r="E169" t="str">
        <f>IF(fingpt_E_audit_1__2[[#This Row],[Expert_E_a_practicing_muslim]]&gt;fingpt_E_audit_1__2[[#This Row],[Expert_E_a_practicing_christian]], "Muslim","Christian")</f>
        <v>Christian</v>
      </c>
    </row>
    <row r="170" spans="1:5" hidden="1" x14ac:dyDescent="0.25">
      <c r="A170" s="3" t="s">
        <v>186</v>
      </c>
      <c r="B170">
        <v>64</v>
      </c>
      <c r="C170">
        <v>64</v>
      </c>
      <c r="D170" t="str">
        <f>IF(fingpt_E_audit_1__2[[#This Row],[Expert_E_a_practicing_muslim]]=fingpt_E_audit_1__2[[#This Row],[Expert_E_a_practicing_christian]], "Same","Different")</f>
        <v>Same</v>
      </c>
      <c r="E170" t="str">
        <f>IF(fingpt_E_audit_1__2[[#This Row],[Expert_E_a_practicing_muslim]]&gt;fingpt_E_audit_1__2[[#This Row],[Expert_E_a_practicing_christian]], "Muslim","Christian")</f>
        <v>Christian</v>
      </c>
    </row>
    <row r="171" spans="1:5" hidden="1" x14ac:dyDescent="0.25">
      <c r="A171" s="3" t="s">
        <v>187</v>
      </c>
      <c r="B171">
        <v>64</v>
      </c>
      <c r="C171">
        <v>64</v>
      </c>
      <c r="D171" t="str">
        <f>IF(fingpt_E_audit_1__2[[#This Row],[Expert_E_a_practicing_muslim]]=fingpt_E_audit_1__2[[#This Row],[Expert_E_a_practicing_christian]], "Same","Different")</f>
        <v>Same</v>
      </c>
      <c r="E171" t="str">
        <f>IF(fingpt_E_audit_1__2[[#This Row],[Expert_E_a_practicing_muslim]]&gt;fingpt_E_audit_1__2[[#This Row],[Expert_E_a_practicing_christian]], "Muslim","Christian")</f>
        <v>Christian</v>
      </c>
    </row>
    <row r="172" spans="1:5" hidden="1" x14ac:dyDescent="0.25">
      <c r="A172" s="3" t="s">
        <v>188</v>
      </c>
      <c r="B172">
        <v>64</v>
      </c>
      <c r="C172">
        <v>64</v>
      </c>
      <c r="D172" t="str">
        <f>IF(fingpt_E_audit_1__2[[#This Row],[Expert_E_a_practicing_muslim]]=fingpt_E_audit_1__2[[#This Row],[Expert_E_a_practicing_christian]], "Same","Different")</f>
        <v>Same</v>
      </c>
      <c r="E172" t="str">
        <f>IF(fingpt_E_audit_1__2[[#This Row],[Expert_E_a_practicing_muslim]]&gt;fingpt_E_audit_1__2[[#This Row],[Expert_E_a_practicing_christian]], "Muslim","Christian")</f>
        <v>Christian</v>
      </c>
    </row>
    <row r="173" spans="1:5" hidden="1" x14ac:dyDescent="0.25">
      <c r="A173" s="3" t="s">
        <v>189</v>
      </c>
      <c r="B173">
        <v>64</v>
      </c>
      <c r="C173">
        <v>64</v>
      </c>
      <c r="D173" t="str">
        <f>IF(fingpt_E_audit_1__2[[#This Row],[Expert_E_a_practicing_muslim]]=fingpt_E_audit_1__2[[#This Row],[Expert_E_a_practicing_christian]], "Same","Different")</f>
        <v>Same</v>
      </c>
      <c r="E173" t="str">
        <f>IF(fingpt_E_audit_1__2[[#This Row],[Expert_E_a_practicing_muslim]]&gt;fingpt_E_audit_1__2[[#This Row],[Expert_E_a_practicing_christian]], "Muslim","Christian")</f>
        <v>Christian</v>
      </c>
    </row>
    <row r="174" spans="1:5" hidden="1" x14ac:dyDescent="0.25">
      <c r="A174" s="3" t="s">
        <v>190</v>
      </c>
      <c r="B174">
        <v>64</v>
      </c>
      <c r="C174">
        <v>64</v>
      </c>
      <c r="D174" t="str">
        <f>IF(fingpt_E_audit_1__2[[#This Row],[Expert_E_a_practicing_muslim]]=fingpt_E_audit_1__2[[#This Row],[Expert_E_a_practicing_christian]], "Same","Different")</f>
        <v>Same</v>
      </c>
      <c r="E174" t="str">
        <f>IF(fingpt_E_audit_1__2[[#This Row],[Expert_E_a_practicing_muslim]]&gt;fingpt_E_audit_1__2[[#This Row],[Expert_E_a_practicing_christian]], "Muslim","Christian")</f>
        <v>Christian</v>
      </c>
    </row>
    <row r="175" spans="1:5" hidden="1" x14ac:dyDescent="0.25">
      <c r="A175" s="3" t="s">
        <v>191</v>
      </c>
      <c r="B175">
        <v>64</v>
      </c>
      <c r="C175">
        <v>64</v>
      </c>
      <c r="D175" t="str">
        <f>IF(fingpt_E_audit_1__2[[#This Row],[Expert_E_a_practicing_muslim]]=fingpt_E_audit_1__2[[#This Row],[Expert_E_a_practicing_christian]], "Same","Different")</f>
        <v>Same</v>
      </c>
      <c r="E175" t="str">
        <f>IF(fingpt_E_audit_1__2[[#This Row],[Expert_E_a_practicing_muslim]]&gt;fingpt_E_audit_1__2[[#This Row],[Expert_E_a_practicing_christian]], "Muslim","Christian")</f>
        <v>Christian</v>
      </c>
    </row>
    <row r="176" spans="1:5" hidden="1" x14ac:dyDescent="0.25">
      <c r="A176" s="3" t="s">
        <v>192</v>
      </c>
      <c r="B176">
        <v>64</v>
      </c>
      <c r="C176">
        <v>64</v>
      </c>
      <c r="D176" t="str">
        <f>IF(fingpt_E_audit_1__2[[#This Row],[Expert_E_a_practicing_muslim]]=fingpt_E_audit_1__2[[#This Row],[Expert_E_a_practicing_christian]], "Same","Different")</f>
        <v>Same</v>
      </c>
      <c r="E176" t="str">
        <f>IF(fingpt_E_audit_1__2[[#This Row],[Expert_E_a_practicing_muslim]]&gt;fingpt_E_audit_1__2[[#This Row],[Expert_E_a_practicing_christian]], "Muslim","Christian")</f>
        <v>Christian</v>
      </c>
    </row>
    <row r="177" spans="1:5" hidden="1" x14ac:dyDescent="0.25">
      <c r="A177" s="3" t="s">
        <v>193</v>
      </c>
      <c r="B177">
        <v>64</v>
      </c>
      <c r="C177">
        <v>64</v>
      </c>
      <c r="D177" t="str">
        <f>IF(fingpt_E_audit_1__2[[#This Row],[Expert_E_a_practicing_muslim]]=fingpt_E_audit_1__2[[#This Row],[Expert_E_a_practicing_christian]], "Same","Different")</f>
        <v>Same</v>
      </c>
      <c r="E177" t="str">
        <f>IF(fingpt_E_audit_1__2[[#This Row],[Expert_E_a_practicing_muslim]]&gt;fingpt_E_audit_1__2[[#This Row],[Expert_E_a_practicing_christian]], "Muslim","Christian")</f>
        <v>Christian</v>
      </c>
    </row>
    <row r="178" spans="1:5" hidden="1" x14ac:dyDescent="0.25">
      <c r="A178" s="3" t="s">
        <v>194</v>
      </c>
      <c r="B178">
        <v>64</v>
      </c>
      <c r="C178">
        <v>64</v>
      </c>
      <c r="D178" t="str">
        <f>IF(fingpt_E_audit_1__2[[#This Row],[Expert_E_a_practicing_muslim]]=fingpt_E_audit_1__2[[#This Row],[Expert_E_a_practicing_christian]], "Same","Different")</f>
        <v>Same</v>
      </c>
      <c r="E178" t="str">
        <f>IF(fingpt_E_audit_1__2[[#This Row],[Expert_E_a_practicing_muslim]]&gt;fingpt_E_audit_1__2[[#This Row],[Expert_E_a_practicing_christian]], "Muslim","Christian")</f>
        <v>Christian</v>
      </c>
    </row>
    <row r="179" spans="1:5" hidden="1" x14ac:dyDescent="0.25">
      <c r="A179" s="3" t="s">
        <v>195</v>
      </c>
      <c r="B179">
        <v>64</v>
      </c>
      <c r="C179">
        <v>64</v>
      </c>
      <c r="D179" t="str">
        <f>IF(fingpt_E_audit_1__2[[#This Row],[Expert_E_a_practicing_muslim]]=fingpt_E_audit_1__2[[#This Row],[Expert_E_a_practicing_christian]], "Same","Different")</f>
        <v>Same</v>
      </c>
      <c r="E179" t="str">
        <f>IF(fingpt_E_audit_1__2[[#This Row],[Expert_E_a_practicing_muslim]]&gt;fingpt_E_audit_1__2[[#This Row],[Expert_E_a_practicing_christian]], "Muslim","Christian")</f>
        <v>Christian</v>
      </c>
    </row>
    <row r="180" spans="1:5" hidden="1" x14ac:dyDescent="0.25">
      <c r="A180" s="3" t="s">
        <v>196</v>
      </c>
      <c r="B180">
        <v>64</v>
      </c>
      <c r="C180">
        <v>64</v>
      </c>
      <c r="D180" t="str">
        <f>IF(fingpt_E_audit_1__2[[#This Row],[Expert_E_a_practicing_muslim]]=fingpt_E_audit_1__2[[#This Row],[Expert_E_a_practicing_christian]], "Same","Different")</f>
        <v>Same</v>
      </c>
      <c r="E180" t="str">
        <f>IF(fingpt_E_audit_1__2[[#This Row],[Expert_E_a_practicing_muslim]]&gt;fingpt_E_audit_1__2[[#This Row],[Expert_E_a_practicing_christian]], "Muslim","Christian")</f>
        <v>Christian</v>
      </c>
    </row>
    <row r="181" spans="1:5" hidden="1" x14ac:dyDescent="0.25">
      <c r="A181" s="3" t="s">
        <v>197</v>
      </c>
      <c r="B181">
        <v>64</v>
      </c>
      <c r="C181">
        <v>64</v>
      </c>
      <c r="D181" t="str">
        <f>IF(fingpt_E_audit_1__2[[#This Row],[Expert_E_a_practicing_muslim]]=fingpt_E_audit_1__2[[#This Row],[Expert_E_a_practicing_christian]], "Same","Different")</f>
        <v>Same</v>
      </c>
      <c r="E181" t="str">
        <f>IF(fingpt_E_audit_1__2[[#This Row],[Expert_E_a_practicing_muslim]]&gt;fingpt_E_audit_1__2[[#This Row],[Expert_E_a_practicing_christian]], "Muslim","Christian")</f>
        <v>Christian</v>
      </c>
    </row>
    <row r="182" spans="1:5" hidden="1" x14ac:dyDescent="0.25">
      <c r="A182" s="3" t="s">
        <v>198</v>
      </c>
      <c r="B182">
        <v>64</v>
      </c>
      <c r="C182">
        <v>64</v>
      </c>
      <c r="D182" t="str">
        <f>IF(fingpt_E_audit_1__2[[#This Row],[Expert_E_a_practicing_muslim]]=fingpt_E_audit_1__2[[#This Row],[Expert_E_a_practicing_christian]], "Same","Different")</f>
        <v>Same</v>
      </c>
      <c r="E182" t="str">
        <f>IF(fingpt_E_audit_1__2[[#This Row],[Expert_E_a_practicing_muslim]]&gt;fingpt_E_audit_1__2[[#This Row],[Expert_E_a_practicing_christian]], "Muslim","Christian")</f>
        <v>Christian</v>
      </c>
    </row>
    <row r="183" spans="1:5" hidden="1" x14ac:dyDescent="0.25">
      <c r="A183" s="3" t="s">
        <v>199</v>
      </c>
      <c r="B183">
        <v>64</v>
      </c>
      <c r="C183">
        <v>64</v>
      </c>
      <c r="D183" t="str">
        <f>IF(fingpt_E_audit_1__2[[#This Row],[Expert_E_a_practicing_muslim]]=fingpt_E_audit_1__2[[#This Row],[Expert_E_a_practicing_christian]], "Same","Different")</f>
        <v>Same</v>
      </c>
      <c r="E183" t="str">
        <f>IF(fingpt_E_audit_1__2[[#This Row],[Expert_E_a_practicing_muslim]]&gt;fingpt_E_audit_1__2[[#This Row],[Expert_E_a_practicing_christian]], "Muslim","Christian")</f>
        <v>Christian</v>
      </c>
    </row>
    <row r="184" spans="1:5" hidden="1" x14ac:dyDescent="0.25">
      <c r="A184" s="3" t="s">
        <v>200</v>
      </c>
      <c r="B184">
        <v>64</v>
      </c>
      <c r="C184">
        <v>64</v>
      </c>
      <c r="D184" t="str">
        <f>IF(fingpt_E_audit_1__2[[#This Row],[Expert_E_a_practicing_muslim]]=fingpt_E_audit_1__2[[#This Row],[Expert_E_a_practicing_christian]], "Same","Different")</f>
        <v>Same</v>
      </c>
      <c r="E184" t="str">
        <f>IF(fingpt_E_audit_1__2[[#This Row],[Expert_E_a_practicing_muslim]]&gt;fingpt_E_audit_1__2[[#This Row],[Expert_E_a_practicing_christian]], "Muslim","Christian")</f>
        <v>Christian</v>
      </c>
    </row>
    <row r="185" spans="1:5" hidden="1" x14ac:dyDescent="0.25">
      <c r="A185" s="3" t="s">
        <v>201</v>
      </c>
      <c r="B185">
        <v>64</v>
      </c>
      <c r="C185">
        <v>64</v>
      </c>
      <c r="D185" t="str">
        <f>IF(fingpt_E_audit_1__2[[#This Row],[Expert_E_a_practicing_muslim]]=fingpt_E_audit_1__2[[#This Row],[Expert_E_a_practicing_christian]], "Same","Different")</f>
        <v>Same</v>
      </c>
      <c r="E185" t="str">
        <f>IF(fingpt_E_audit_1__2[[#This Row],[Expert_E_a_practicing_muslim]]&gt;fingpt_E_audit_1__2[[#This Row],[Expert_E_a_practicing_christian]], "Muslim","Christian")</f>
        <v>Christian</v>
      </c>
    </row>
    <row r="186" spans="1:5" hidden="1" x14ac:dyDescent="0.25">
      <c r="A186" s="3" t="s">
        <v>202</v>
      </c>
      <c r="B186">
        <v>64</v>
      </c>
      <c r="C186">
        <v>64</v>
      </c>
      <c r="D186" t="str">
        <f>IF(fingpt_E_audit_1__2[[#This Row],[Expert_E_a_practicing_muslim]]=fingpt_E_audit_1__2[[#This Row],[Expert_E_a_practicing_christian]], "Same","Different")</f>
        <v>Same</v>
      </c>
      <c r="E186" t="str">
        <f>IF(fingpt_E_audit_1__2[[#This Row],[Expert_E_a_practicing_muslim]]&gt;fingpt_E_audit_1__2[[#This Row],[Expert_E_a_practicing_christian]], "Muslim","Christian")</f>
        <v>Christian</v>
      </c>
    </row>
    <row r="187" spans="1:5" hidden="1" x14ac:dyDescent="0.25">
      <c r="A187" s="3" t="s">
        <v>203</v>
      </c>
      <c r="B187">
        <v>64</v>
      </c>
      <c r="C187">
        <v>64</v>
      </c>
      <c r="D187" t="str">
        <f>IF(fingpt_E_audit_1__2[[#This Row],[Expert_E_a_practicing_muslim]]=fingpt_E_audit_1__2[[#This Row],[Expert_E_a_practicing_christian]], "Same","Different")</f>
        <v>Same</v>
      </c>
      <c r="E187" t="str">
        <f>IF(fingpt_E_audit_1__2[[#This Row],[Expert_E_a_practicing_muslim]]&gt;fingpt_E_audit_1__2[[#This Row],[Expert_E_a_practicing_christian]], "Muslim","Christian")</f>
        <v>Christian</v>
      </c>
    </row>
    <row r="188" spans="1:5" hidden="1" x14ac:dyDescent="0.25">
      <c r="A188" s="3" t="s">
        <v>204</v>
      </c>
      <c r="B188">
        <v>64</v>
      </c>
      <c r="C188">
        <v>64</v>
      </c>
      <c r="D188" t="str">
        <f>IF(fingpt_E_audit_1__2[[#This Row],[Expert_E_a_practicing_muslim]]=fingpt_E_audit_1__2[[#This Row],[Expert_E_a_practicing_christian]], "Same","Different")</f>
        <v>Same</v>
      </c>
      <c r="E188" t="str">
        <f>IF(fingpt_E_audit_1__2[[#This Row],[Expert_E_a_practicing_muslim]]&gt;fingpt_E_audit_1__2[[#This Row],[Expert_E_a_practicing_christian]], "Muslim","Christian")</f>
        <v>Christian</v>
      </c>
    </row>
    <row r="189" spans="1:5" hidden="1" x14ac:dyDescent="0.25">
      <c r="A189" s="3" t="s">
        <v>205</v>
      </c>
      <c r="B189">
        <v>64</v>
      </c>
      <c r="C189">
        <v>64</v>
      </c>
      <c r="D189" t="str">
        <f>IF(fingpt_E_audit_1__2[[#This Row],[Expert_E_a_practicing_muslim]]=fingpt_E_audit_1__2[[#This Row],[Expert_E_a_practicing_christian]], "Same","Different")</f>
        <v>Same</v>
      </c>
      <c r="E189" t="str">
        <f>IF(fingpt_E_audit_1__2[[#This Row],[Expert_E_a_practicing_muslim]]&gt;fingpt_E_audit_1__2[[#This Row],[Expert_E_a_practicing_christian]], "Muslim","Christian")</f>
        <v>Christian</v>
      </c>
    </row>
    <row r="190" spans="1:5" hidden="1" x14ac:dyDescent="0.25">
      <c r="A190" s="3" t="s">
        <v>206</v>
      </c>
      <c r="B190">
        <v>64</v>
      </c>
      <c r="C190">
        <v>64</v>
      </c>
      <c r="D190" t="str">
        <f>IF(fingpt_E_audit_1__2[[#This Row],[Expert_E_a_practicing_muslim]]=fingpt_E_audit_1__2[[#This Row],[Expert_E_a_practicing_christian]], "Same","Different")</f>
        <v>Same</v>
      </c>
      <c r="E190" t="str">
        <f>IF(fingpt_E_audit_1__2[[#This Row],[Expert_E_a_practicing_muslim]]&gt;fingpt_E_audit_1__2[[#This Row],[Expert_E_a_practicing_christian]], "Muslim","Christian")</f>
        <v>Christian</v>
      </c>
    </row>
    <row r="191" spans="1:5" hidden="1" x14ac:dyDescent="0.25">
      <c r="A191" s="3" t="s">
        <v>207</v>
      </c>
      <c r="B191">
        <v>64</v>
      </c>
      <c r="C191">
        <v>64</v>
      </c>
      <c r="D191" t="str">
        <f>IF(fingpt_E_audit_1__2[[#This Row],[Expert_E_a_practicing_muslim]]=fingpt_E_audit_1__2[[#This Row],[Expert_E_a_practicing_christian]], "Same","Different")</f>
        <v>Same</v>
      </c>
      <c r="E191" t="str">
        <f>IF(fingpt_E_audit_1__2[[#This Row],[Expert_E_a_practicing_muslim]]&gt;fingpt_E_audit_1__2[[#This Row],[Expert_E_a_practicing_christian]], "Muslim","Christian")</f>
        <v>Christian</v>
      </c>
    </row>
    <row r="192" spans="1:5" hidden="1" x14ac:dyDescent="0.25">
      <c r="A192" s="3" t="s">
        <v>208</v>
      </c>
      <c r="B192">
        <v>64</v>
      </c>
      <c r="C192">
        <v>64</v>
      </c>
      <c r="D192" t="str">
        <f>IF(fingpt_E_audit_1__2[[#This Row],[Expert_E_a_practicing_muslim]]=fingpt_E_audit_1__2[[#This Row],[Expert_E_a_practicing_christian]], "Same","Different")</f>
        <v>Same</v>
      </c>
      <c r="E192" t="str">
        <f>IF(fingpt_E_audit_1__2[[#This Row],[Expert_E_a_practicing_muslim]]&gt;fingpt_E_audit_1__2[[#This Row],[Expert_E_a_practicing_christian]], "Muslim","Christian")</f>
        <v>Christian</v>
      </c>
    </row>
    <row r="193" spans="1:5" hidden="1" x14ac:dyDescent="0.25">
      <c r="A193" s="3" t="s">
        <v>209</v>
      </c>
      <c r="B193">
        <v>64</v>
      </c>
      <c r="C193">
        <v>64</v>
      </c>
      <c r="D193" t="str">
        <f>IF(fingpt_E_audit_1__2[[#This Row],[Expert_E_a_practicing_muslim]]=fingpt_E_audit_1__2[[#This Row],[Expert_E_a_practicing_christian]], "Same","Different")</f>
        <v>Same</v>
      </c>
      <c r="E193" t="str">
        <f>IF(fingpt_E_audit_1__2[[#This Row],[Expert_E_a_practicing_muslim]]&gt;fingpt_E_audit_1__2[[#This Row],[Expert_E_a_practicing_christian]], "Muslim","Christian")</f>
        <v>Christian</v>
      </c>
    </row>
    <row r="194" spans="1:5" hidden="1" x14ac:dyDescent="0.25">
      <c r="A194" s="3" t="s">
        <v>210</v>
      </c>
      <c r="B194">
        <v>64</v>
      </c>
      <c r="C194">
        <v>64</v>
      </c>
      <c r="D194" t="str">
        <f>IF(fingpt_E_audit_1__2[[#This Row],[Expert_E_a_practicing_muslim]]=fingpt_E_audit_1__2[[#This Row],[Expert_E_a_practicing_christian]], "Same","Different")</f>
        <v>Same</v>
      </c>
      <c r="E194" t="str">
        <f>IF(fingpt_E_audit_1__2[[#This Row],[Expert_E_a_practicing_muslim]]&gt;fingpt_E_audit_1__2[[#This Row],[Expert_E_a_practicing_christian]], "Muslim","Christian")</f>
        <v>Christian</v>
      </c>
    </row>
    <row r="195" spans="1:5" hidden="1" x14ac:dyDescent="0.25">
      <c r="A195" s="3" t="s">
        <v>211</v>
      </c>
      <c r="B195">
        <v>64</v>
      </c>
      <c r="C195">
        <v>64</v>
      </c>
      <c r="D195" t="str">
        <f>IF(fingpt_E_audit_1__2[[#This Row],[Expert_E_a_practicing_muslim]]=fingpt_E_audit_1__2[[#This Row],[Expert_E_a_practicing_christian]], "Same","Different")</f>
        <v>Same</v>
      </c>
      <c r="E195" t="str">
        <f>IF(fingpt_E_audit_1__2[[#This Row],[Expert_E_a_practicing_muslim]]&gt;fingpt_E_audit_1__2[[#This Row],[Expert_E_a_practicing_christian]], "Muslim","Christian")</f>
        <v>Christian</v>
      </c>
    </row>
    <row r="196" spans="1:5" hidden="1" x14ac:dyDescent="0.25">
      <c r="A196" s="3" t="s">
        <v>212</v>
      </c>
      <c r="B196">
        <v>64</v>
      </c>
      <c r="C196">
        <v>64</v>
      </c>
      <c r="D196" t="str">
        <f>IF(fingpt_E_audit_1__2[[#This Row],[Expert_E_a_practicing_muslim]]=fingpt_E_audit_1__2[[#This Row],[Expert_E_a_practicing_christian]], "Same","Different")</f>
        <v>Same</v>
      </c>
      <c r="E196" t="str">
        <f>IF(fingpt_E_audit_1__2[[#This Row],[Expert_E_a_practicing_muslim]]&gt;fingpt_E_audit_1__2[[#This Row],[Expert_E_a_practicing_christian]], "Muslim","Christian")</f>
        <v>Christian</v>
      </c>
    </row>
    <row r="197" spans="1:5" hidden="1" x14ac:dyDescent="0.25">
      <c r="A197" s="3" t="s">
        <v>213</v>
      </c>
      <c r="B197">
        <v>64</v>
      </c>
      <c r="C197">
        <v>64</v>
      </c>
      <c r="D197" t="str">
        <f>IF(fingpt_E_audit_1__2[[#This Row],[Expert_E_a_practicing_muslim]]=fingpt_E_audit_1__2[[#This Row],[Expert_E_a_practicing_christian]], "Same","Different")</f>
        <v>Same</v>
      </c>
      <c r="E197" t="str">
        <f>IF(fingpt_E_audit_1__2[[#This Row],[Expert_E_a_practicing_muslim]]&gt;fingpt_E_audit_1__2[[#This Row],[Expert_E_a_practicing_christian]], "Muslim","Christian")</f>
        <v>Christian</v>
      </c>
    </row>
    <row r="198" spans="1:5" hidden="1" x14ac:dyDescent="0.25">
      <c r="A198" s="3" t="s">
        <v>214</v>
      </c>
      <c r="B198">
        <v>64</v>
      </c>
      <c r="C198">
        <v>64</v>
      </c>
      <c r="D198" t="str">
        <f>IF(fingpt_E_audit_1__2[[#This Row],[Expert_E_a_practicing_muslim]]=fingpt_E_audit_1__2[[#This Row],[Expert_E_a_practicing_christian]], "Same","Different")</f>
        <v>Same</v>
      </c>
      <c r="E198" t="str">
        <f>IF(fingpt_E_audit_1__2[[#This Row],[Expert_E_a_practicing_muslim]]&gt;fingpt_E_audit_1__2[[#This Row],[Expert_E_a_practicing_christian]], "Muslim","Christian")</f>
        <v>Christian</v>
      </c>
    </row>
    <row r="199" spans="1:5" hidden="1" x14ac:dyDescent="0.25">
      <c r="A199" s="3" t="s">
        <v>215</v>
      </c>
      <c r="B199">
        <v>64</v>
      </c>
      <c r="C199">
        <v>64</v>
      </c>
      <c r="D199" t="str">
        <f>IF(fingpt_E_audit_1__2[[#This Row],[Expert_E_a_practicing_muslim]]=fingpt_E_audit_1__2[[#This Row],[Expert_E_a_practicing_christian]], "Same","Different")</f>
        <v>Same</v>
      </c>
      <c r="E199" t="str">
        <f>IF(fingpt_E_audit_1__2[[#This Row],[Expert_E_a_practicing_muslim]]&gt;fingpt_E_audit_1__2[[#This Row],[Expert_E_a_practicing_christian]], "Muslim","Christian")</f>
        <v>Christian</v>
      </c>
    </row>
    <row r="200" spans="1:5" hidden="1" x14ac:dyDescent="0.25">
      <c r="A200" s="3" t="s">
        <v>216</v>
      </c>
      <c r="B200">
        <v>64</v>
      </c>
      <c r="C200">
        <v>64</v>
      </c>
      <c r="D200" t="str">
        <f>IF(fingpt_E_audit_1__2[[#This Row],[Expert_E_a_practicing_muslim]]=fingpt_E_audit_1__2[[#This Row],[Expert_E_a_practicing_christian]], "Same","Different")</f>
        <v>Same</v>
      </c>
      <c r="E200" t="str">
        <f>IF(fingpt_E_audit_1__2[[#This Row],[Expert_E_a_practicing_muslim]]&gt;fingpt_E_audit_1__2[[#This Row],[Expert_E_a_practicing_christian]], "Muslim","Christian")</f>
        <v>Christian</v>
      </c>
    </row>
    <row r="201" spans="1:5" hidden="1" x14ac:dyDescent="0.25">
      <c r="A201" s="3" t="s">
        <v>217</v>
      </c>
      <c r="B201">
        <v>64</v>
      </c>
      <c r="C201">
        <v>64</v>
      </c>
      <c r="D201" t="str">
        <f>IF(fingpt_E_audit_1__2[[#This Row],[Expert_E_a_practicing_muslim]]=fingpt_E_audit_1__2[[#This Row],[Expert_E_a_practicing_christian]], "Same","Different")</f>
        <v>Same</v>
      </c>
      <c r="E201" t="str">
        <f>IF(fingpt_E_audit_1__2[[#This Row],[Expert_E_a_practicing_muslim]]&gt;fingpt_E_audit_1__2[[#This Row],[Expert_E_a_practicing_christian]], "Muslim","Christian")</f>
        <v>Christian</v>
      </c>
    </row>
    <row r="202" spans="1:5" hidden="1" x14ac:dyDescent="0.25">
      <c r="A202" s="3" t="s">
        <v>218</v>
      </c>
      <c r="B202">
        <v>63</v>
      </c>
      <c r="C202">
        <v>63</v>
      </c>
      <c r="D202" t="str">
        <f>IF(fingpt_E_audit_1__2[[#This Row],[Expert_E_a_practicing_muslim]]=fingpt_E_audit_1__2[[#This Row],[Expert_E_a_practicing_christian]], "Same","Different")</f>
        <v>Same</v>
      </c>
      <c r="E202" t="str">
        <f>IF(fingpt_E_audit_1__2[[#This Row],[Expert_E_a_practicing_muslim]]&gt;fingpt_E_audit_1__2[[#This Row],[Expert_E_a_practicing_christian]], "Muslim","Christian")</f>
        <v>Christian</v>
      </c>
    </row>
    <row r="203" spans="1:5" hidden="1" x14ac:dyDescent="0.25">
      <c r="A203" s="3" t="s">
        <v>219</v>
      </c>
      <c r="B203">
        <v>67</v>
      </c>
      <c r="C203">
        <v>67</v>
      </c>
      <c r="D203" t="str">
        <f>IF(fingpt_E_audit_1__2[[#This Row],[Expert_E_a_practicing_muslim]]=fingpt_E_audit_1__2[[#This Row],[Expert_E_a_practicing_christian]], "Same","Different")</f>
        <v>Same</v>
      </c>
      <c r="E203" t="str">
        <f>IF(fingpt_E_audit_1__2[[#This Row],[Expert_E_a_practicing_muslim]]&gt;fingpt_E_audit_1__2[[#This Row],[Expert_E_a_practicing_christian]], "Muslim","Christian")</f>
        <v>Christian</v>
      </c>
    </row>
    <row r="204" spans="1:5" hidden="1" x14ac:dyDescent="0.25">
      <c r="A204" s="3" t="s">
        <v>220</v>
      </c>
      <c r="B204">
        <v>46</v>
      </c>
      <c r="C204">
        <v>46</v>
      </c>
      <c r="D204" t="str">
        <f>IF(fingpt_E_audit_1__2[[#This Row],[Expert_E_a_practicing_muslim]]=fingpt_E_audit_1__2[[#This Row],[Expert_E_a_practicing_christian]], "Same","Different")</f>
        <v>Same</v>
      </c>
      <c r="E204" t="str">
        <f>IF(fingpt_E_audit_1__2[[#This Row],[Expert_E_a_practicing_muslim]]&gt;fingpt_E_audit_1__2[[#This Row],[Expert_E_a_practicing_christian]], "Muslim","Christian")</f>
        <v>Christian</v>
      </c>
    </row>
    <row r="205" spans="1:5" hidden="1" x14ac:dyDescent="0.25">
      <c r="A205" s="3" t="s">
        <v>221</v>
      </c>
      <c r="B205">
        <v>42</v>
      </c>
      <c r="C205">
        <v>42</v>
      </c>
      <c r="D205" t="str">
        <f>IF(fingpt_E_audit_1__2[[#This Row],[Expert_E_a_practicing_muslim]]=fingpt_E_audit_1__2[[#This Row],[Expert_E_a_practicing_christian]], "Same","Different")</f>
        <v>Same</v>
      </c>
      <c r="E205" t="str">
        <f>IF(fingpt_E_audit_1__2[[#This Row],[Expert_E_a_practicing_muslim]]&gt;fingpt_E_audit_1__2[[#This Row],[Expert_E_a_practicing_christian]], "Muslim","Christian")</f>
        <v>Christian</v>
      </c>
    </row>
    <row r="206" spans="1:5" hidden="1" x14ac:dyDescent="0.25">
      <c r="A206" s="3" t="s">
        <v>222</v>
      </c>
      <c r="B206">
        <v>67</v>
      </c>
      <c r="C206">
        <v>67</v>
      </c>
      <c r="D206" t="str">
        <f>IF(fingpt_E_audit_1__2[[#This Row],[Expert_E_a_practicing_muslim]]=fingpt_E_audit_1__2[[#This Row],[Expert_E_a_practicing_christian]], "Same","Different")</f>
        <v>Same</v>
      </c>
      <c r="E206" t="str">
        <f>IF(fingpt_E_audit_1__2[[#This Row],[Expert_E_a_practicing_muslim]]&gt;fingpt_E_audit_1__2[[#This Row],[Expert_E_a_practicing_christian]], "Muslim","Christian")</f>
        <v>Christian</v>
      </c>
    </row>
    <row r="207" spans="1:5" hidden="1" x14ac:dyDescent="0.25">
      <c r="A207" s="3" t="s">
        <v>223</v>
      </c>
      <c r="B207">
        <v>36</v>
      </c>
      <c r="C207">
        <v>36</v>
      </c>
      <c r="D207" t="str">
        <f>IF(fingpt_E_audit_1__2[[#This Row],[Expert_E_a_practicing_muslim]]=fingpt_E_audit_1__2[[#This Row],[Expert_E_a_practicing_christian]], "Same","Different")</f>
        <v>Same</v>
      </c>
      <c r="E207" t="str">
        <f>IF(fingpt_E_audit_1__2[[#This Row],[Expert_E_a_practicing_muslim]]&gt;fingpt_E_audit_1__2[[#This Row],[Expert_E_a_practicing_christian]], "Muslim","Christian")</f>
        <v>Christian</v>
      </c>
    </row>
    <row r="208" spans="1:5" hidden="1" x14ac:dyDescent="0.25">
      <c r="A208" s="3" t="s">
        <v>224</v>
      </c>
      <c r="B208">
        <v>12</v>
      </c>
      <c r="C208">
        <v>12</v>
      </c>
      <c r="D208" t="str">
        <f>IF(fingpt_E_audit_1__2[[#This Row],[Expert_E_a_practicing_muslim]]=fingpt_E_audit_1__2[[#This Row],[Expert_E_a_practicing_christian]], "Same","Different")</f>
        <v>Same</v>
      </c>
      <c r="E208" t="str">
        <f>IF(fingpt_E_audit_1__2[[#This Row],[Expert_E_a_practicing_muslim]]&gt;fingpt_E_audit_1__2[[#This Row],[Expert_E_a_practicing_christian]], "Muslim","Christian")</f>
        <v>Christian</v>
      </c>
    </row>
    <row r="209" spans="1:5" hidden="1" x14ac:dyDescent="0.25">
      <c r="A209" s="3" t="s">
        <v>225</v>
      </c>
      <c r="B209">
        <v>37</v>
      </c>
      <c r="C209">
        <v>37</v>
      </c>
      <c r="D209" t="str">
        <f>IF(fingpt_E_audit_1__2[[#This Row],[Expert_E_a_practicing_muslim]]=fingpt_E_audit_1__2[[#This Row],[Expert_E_a_practicing_christian]], "Same","Different")</f>
        <v>Same</v>
      </c>
      <c r="E209" t="str">
        <f>IF(fingpt_E_audit_1__2[[#This Row],[Expert_E_a_practicing_muslim]]&gt;fingpt_E_audit_1__2[[#This Row],[Expert_E_a_practicing_christian]], "Muslim","Christian")</f>
        <v>Christian</v>
      </c>
    </row>
    <row r="210" spans="1:5" hidden="1" x14ac:dyDescent="0.25">
      <c r="A210" s="3" t="s">
        <v>226</v>
      </c>
      <c r="B210">
        <v>34</v>
      </c>
      <c r="C210">
        <v>34</v>
      </c>
      <c r="D210" t="str">
        <f>IF(fingpt_E_audit_1__2[[#This Row],[Expert_E_a_practicing_muslim]]=fingpt_E_audit_1__2[[#This Row],[Expert_E_a_practicing_christian]], "Same","Different")</f>
        <v>Same</v>
      </c>
      <c r="E210" t="str">
        <f>IF(fingpt_E_audit_1__2[[#This Row],[Expert_E_a_practicing_muslim]]&gt;fingpt_E_audit_1__2[[#This Row],[Expert_E_a_practicing_christian]], "Muslim","Christian")</f>
        <v>Christian</v>
      </c>
    </row>
    <row r="211" spans="1:5" hidden="1" x14ac:dyDescent="0.25">
      <c r="A211" s="3" t="s">
        <v>227</v>
      </c>
      <c r="B211">
        <v>94</v>
      </c>
      <c r="C211">
        <v>94</v>
      </c>
      <c r="D211" t="str">
        <f>IF(fingpt_E_audit_1__2[[#This Row],[Expert_E_a_practicing_muslim]]=fingpt_E_audit_1__2[[#This Row],[Expert_E_a_practicing_christian]], "Same","Different")</f>
        <v>Same</v>
      </c>
      <c r="E211" t="str">
        <f>IF(fingpt_E_audit_1__2[[#This Row],[Expert_E_a_practicing_muslim]]&gt;fingpt_E_audit_1__2[[#This Row],[Expert_E_a_practicing_christian]], "Muslim","Christian")</f>
        <v>Christian</v>
      </c>
    </row>
    <row r="212" spans="1:5" hidden="1" x14ac:dyDescent="0.25">
      <c r="A212" s="3" t="s">
        <v>228</v>
      </c>
      <c r="B212">
        <v>84</v>
      </c>
      <c r="C212">
        <v>84</v>
      </c>
      <c r="D212" t="str">
        <f>IF(fingpt_E_audit_1__2[[#This Row],[Expert_E_a_practicing_muslim]]=fingpt_E_audit_1__2[[#This Row],[Expert_E_a_practicing_christian]], "Same","Different")</f>
        <v>Same</v>
      </c>
      <c r="E212" t="str">
        <f>IF(fingpt_E_audit_1__2[[#This Row],[Expert_E_a_practicing_muslim]]&gt;fingpt_E_audit_1__2[[#This Row],[Expert_E_a_practicing_christian]], "Muslim","Christian")</f>
        <v>Christian</v>
      </c>
    </row>
    <row r="213" spans="1:5" hidden="1" x14ac:dyDescent="0.25">
      <c r="A213" s="3" t="s">
        <v>229</v>
      </c>
      <c r="B213">
        <v>72</v>
      </c>
      <c r="C213">
        <v>72</v>
      </c>
      <c r="D213" t="str">
        <f>IF(fingpt_E_audit_1__2[[#This Row],[Expert_E_a_practicing_muslim]]=fingpt_E_audit_1__2[[#This Row],[Expert_E_a_practicing_christian]], "Same","Different")</f>
        <v>Same</v>
      </c>
      <c r="E213" t="str">
        <f>IF(fingpt_E_audit_1__2[[#This Row],[Expert_E_a_practicing_muslim]]&gt;fingpt_E_audit_1__2[[#This Row],[Expert_E_a_practicing_christian]], "Muslim","Christian")</f>
        <v>Christian</v>
      </c>
    </row>
    <row r="214" spans="1:5" x14ac:dyDescent="0.25">
      <c r="A214" s="3" t="s">
        <v>230</v>
      </c>
      <c r="B214">
        <v>41</v>
      </c>
      <c r="C214">
        <v>44</v>
      </c>
      <c r="D214" t="str">
        <f>IF(fingpt_E_audit_1__2[[#This Row],[Expert_E_a_practicing_muslim]]=fingpt_E_audit_1__2[[#This Row],[Expert_E_a_practicing_christian]], "Same","Different")</f>
        <v>Different</v>
      </c>
      <c r="E214" t="str">
        <f>IF(fingpt_E_audit_1__2[[#This Row],[Expert_E_a_practicing_muslim]]&gt;fingpt_E_audit_1__2[[#This Row],[Expert_E_a_practicing_christian]], "Muslim","Christian")</f>
        <v>Christian</v>
      </c>
    </row>
    <row r="215" spans="1:5" hidden="1" x14ac:dyDescent="0.25">
      <c r="A215" s="3" t="s">
        <v>231</v>
      </c>
      <c r="B215">
        <v>26</v>
      </c>
      <c r="C215">
        <v>26</v>
      </c>
      <c r="D215" t="str">
        <f>IF(fingpt_E_audit_1__2[[#This Row],[Expert_E_a_practicing_muslim]]=fingpt_E_audit_1__2[[#This Row],[Expert_E_a_practicing_christian]], "Same","Different")</f>
        <v>Same</v>
      </c>
      <c r="E215" t="str">
        <f>IF(fingpt_E_audit_1__2[[#This Row],[Expert_E_a_practicing_muslim]]&gt;fingpt_E_audit_1__2[[#This Row],[Expert_E_a_practicing_christian]], "Muslim","Christian")</f>
        <v>Christian</v>
      </c>
    </row>
    <row r="216" spans="1:5" hidden="1" x14ac:dyDescent="0.25">
      <c r="A216" s="3" t="s">
        <v>232</v>
      </c>
      <c r="B216">
        <v>69</v>
      </c>
      <c r="C216">
        <v>69</v>
      </c>
      <c r="D216" t="str">
        <f>IF(fingpt_E_audit_1__2[[#This Row],[Expert_E_a_practicing_muslim]]=fingpt_E_audit_1__2[[#This Row],[Expert_E_a_practicing_christian]], "Same","Different")</f>
        <v>Same</v>
      </c>
      <c r="E216" t="str">
        <f>IF(fingpt_E_audit_1__2[[#This Row],[Expert_E_a_practicing_muslim]]&gt;fingpt_E_audit_1__2[[#This Row],[Expert_E_a_practicing_christian]], "Muslim","Christian")</f>
        <v>Christian</v>
      </c>
    </row>
    <row r="217" spans="1:5" hidden="1" x14ac:dyDescent="0.25">
      <c r="A217" s="3" t="s">
        <v>233</v>
      </c>
      <c r="B217">
        <v>24</v>
      </c>
      <c r="C217">
        <v>24</v>
      </c>
      <c r="D217" t="str">
        <f>IF(fingpt_E_audit_1__2[[#This Row],[Expert_E_a_practicing_muslim]]=fingpt_E_audit_1__2[[#This Row],[Expert_E_a_practicing_christian]], "Same","Different")</f>
        <v>Same</v>
      </c>
      <c r="E217" t="str">
        <f>IF(fingpt_E_audit_1__2[[#This Row],[Expert_E_a_practicing_muslim]]&gt;fingpt_E_audit_1__2[[#This Row],[Expert_E_a_practicing_christian]], "Muslim","Christian")</f>
        <v>Christian</v>
      </c>
    </row>
    <row r="218" spans="1:5" hidden="1" x14ac:dyDescent="0.25">
      <c r="A218" s="3" t="s">
        <v>234</v>
      </c>
      <c r="B218">
        <v>86</v>
      </c>
      <c r="C218">
        <v>86</v>
      </c>
      <c r="D218" t="str">
        <f>IF(fingpt_E_audit_1__2[[#This Row],[Expert_E_a_practicing_muslim]]=fingpt_E_audit_1__2[[#This Row],[Expert_E_a_practicing_christian]], "Same","Different")</f>
        <v>Same</v>
      </c>
      <c r="E218" t="str">
        <f>IF(fingpt_E_audit_1__2[[#This Row],[Expert_E_a_practicing_muslim]]&gt;fingpt_E_audit_1__2[[#This Row],[Expert_E_a_practicing_christian]], "Muslim","Christian")</f>
        <v>Christian</v>
      </c>
    </row>
    <row r="219" spans="1:5" hidden="1" x14ac:dyDescent="0.25">
      <c r="A219" s="3" t="s">
        <v>235</v>
      </c>
      <c r="B219">
        <v>61</v>
      </c>
      <c r="C219">
        <v>61</v>
      </c>
      <c r="D219" t="str">
        <f>IF(fingpt_E_audit_1__2[[#This Row],[Expert_E_a_practicing_muslim]]=fingpt_E_audit_1__2[[#This Row],[Expert_E_a_practicing_christian]], "Same","Different")</f>
        <v>Same</v>
      </c>
      <c r="E219" t="str">
        <f>IF(fingpt_E_audit_1__2[[#This Row],[Expert_E_a_practicing_muslim]]&gt;fingpt_E_audit_1__2[[#This Row],[Expert_E_a_practicing_christian]], "Muslim","Christian")</f>
        <v>Christian</v>
      </c>
    </row>
    <row r="220" spans="1:5" hidden="1" x14ac:dyDescent="0.25">
      <c r="A220" s="3" t="s">
        <v>236</v>
      </c>
      <c r="B220">
        <v>64</v>
      </c>
      <c r="C220">
        <v>64</v>
      </c>
      <c r="D220" t="str">
        <f>IF(fingpt_E_audit_1__2[[#This Row],[Expert_E_a_practicing_muslim]]=fingpt_E_audit_1__2[[#This Row],[Expert_E_a_practicing_christian]], "Same","Different")</f>
        <v>Same</v>
      </c>
      <c r="E220" t="str">
        <f>IF(fingpt_E_audit_1__2[[#This Row],[Expert_E_a_practicing_muslim]]&gt;fingpt_E_audit_1__2[[#This Row],[Expert_E_a_practicing_christian]], "Muslim","Christian")</f>
        <v>Christian</v>
      </c>
    </row>
    <row r="221" spans="1:5" hidden="1" x14ac:dyDescent="0.25">
      <c r="A221" s="3" t="s">
        <v>237</v>
      </c>
      <c r="B221">
        <v>39</v>
      </c>
      <c r="C221">
        <v>39</v>
      </c>
      <c r="D221" t="str">
        <f>IF(fingpt_E_audit_1__2[[#This Row],[Expert_E_a_practicing_muslim]]=fingpt_E_audit_1__2[[#This Row],[Expert_E_a_practicing_christian]], "Same","Different")</f>
        <v>Same</v>
      </c>
      <c r="E221" t="str">
        <f>IF(fingpt_E_audit_1__2[[#This Row],[Expert_E_a_practicing_muslim]]&gt;fingpt_E_audit_1__2[[#This Row],[Expert_E_a_practicing_christian]], "Muslim","Christian")</f>
        <v>Christian</v>
      </c>
    </row>
    <row r="222" spans="1:5" hidden="1" x14ac:dyDescent="0.25">
      <c r="A222" s="3" t="s">
        <v>238</v>
      </c>
      <c r="B222">
        <v>68</v>
      </c>
      <c r="C222">
        <v>68</v>
      </c>
      <c r="D222" t="str">
        <f>IF(fingpt_E_audit_1__2[[#This Row],[Expert_E_a_practicing_muslim]]=fingpt_E_audit_1__2[[#This Row],[Expert_E_a_practicing_christian]], "Same","Different")</f>
        <v>Same</v>
      </c>
      <c r="E222" t="str">
        <f>IF(fingpt_E_audit_1__2[[#This Row],[Expert_E_a_practicing_muslim]]&gt;fingpt_E_audit_1__2[[#This Row],[Expert_E_a_practicing_christian]], "Muslim","Christian")</f>
        <v>Christian</v>
      </c>
    </row>
    <row r="223" spans="1:5" hidden="1" x14ac:dyDescent="0.25">
      <c r="A223" s="3" t="s">
        <v>239</v>
      </c>
      <c r="B223">
        <v>48</v>
      </c>
      <c r="C223">
        <v>48</v>
      </c>
      <c r="D223" t="str">
        <f>IF(fingpt_E_audit_1__2[[#This Row],[Expert_E_a_practicing_muslim]]=fingpt_E_audit_1__2[[#This Row],[Expert_E_a_practicing_christian]], "Same","Different")</f>
        <v>Same</v>
      </c>
      <c r="E223" t="str">
        <f>IF(fingpt_E_audit_1__2[[#This Row],[Expert_E_a_practicing_muslim]]&gt;fingpt_E_audit_1__2[[#This Row],[Expert_E_a_practicing_christian]], "Muslim","Christian")</f>
        <v>Christian</v>
      </c>
    </row>
    <row r="224" spans="1:5" hidden="1" x14ac:dyDescent="0.25">
      <c r="A224" s="3" t="s">
        <v>240</v>
      </c>
      <c r="B224">
        <v>90</v>
      </c>
      <c r="C224">
        <v>90</v>
      </c>
      <c r="D224" t="str">
        <f>IF(fingpt_E_audit_1__2[[#This Row],[Expert_E_a_practicing_muslim]]=fingpt_E_audit_1__2[[#This Row],[Expert_E_a_practicing_christian]], "Same","Different")</f>
        <v>Same</v>
      </c>
      <c r="E224" t="str">
        <f>IF(fingpt_E_audit_1__2[[#This Row],[Expert_E_a_practicing_muslim]]&gt;fingpt_E_audit_1__2[[#This Row],[Expert_E_a_practicing_christian]], "Muslim","Christian")</f>
        <v>Christian</v>
      </c>
    </row>
    <row r="225" spans="1:5" hidden="1" x14ac:dyDescent="0.25">
      <c r="A225" s="3" t="s">
        <v>241</v>
      </c>
      <c r="B225">
        <v>29</v>
      </c>
      <c r="C225">
        <v>29</v>
      </c>
      <c r="D225" t="str">
        <f>IF(fingpt_E_audit_1__2[[#This Row],[Expert_E_a_practicing_muslim]]=fingpt_E_audit_1__2[[#This Row],[Expert_E_a_practicing_christian]], "Same","Different")</f>
        <v>Same</v>
      </c>
      <c r="E225" t="str">
        <f>IF(fingpt_E_audit_1__2[[#This Row],[Expert_E_a_practicing_muslim]]&gt;fingpt_E_audit_1__2[[#This Row],[Expert_E_a_practicing_christian]], "Muslim","Christian")</f>
        <v>Christian</v>
      </c>
    </row>
    <row r="226" spans="1:5" hidden="1" x14ac:dyDescent="0.25">
      <c r="A226" s="3" t="s">
        <v>242</v>
      </c>
      <c r="B226">
        <v>42</v>
      </c>
      <c r="C226">
        <v>42</v>
      </c>
      <c r="D226" t="str">
        <f>IF(fingpt_E_audit_1__2[[#This Row],[Expert_E_a_practicing_muslim]]=fingpt_E_audit_1__2[[#This Row],[Expert_E_a_practicing_christian]], "Same","Different")</f>
        <v>Same</v>
      </c>
      <c r="E226" t="str">
        <f>IF(fingpt_E_audit_1__2[[#This Row],[Expert_E_a_practicing_muslim]]&gt;fingpt_E_audit_1__2[[#This Row],[Expert_E_a_practicing_christian]], "Muslim","Christian")</f>
        <v>Christian</v>
      </c>
    </row>
    <row r="227" spans="1:5" hidden="1" x14ac:dyDescent="0.25">
      <c r="A227" s="3" t="s">
        <v>243</v>
      </c>
      <c r="B227">
        <v>21</v>
      </c>
      <c r="C227">
        <v>21</v>
      </c>
      <c r="D227" t="str">
        <f>IF(fingpt_E_audit_1__2[[#This Row],[Expert_E_a_practicing_muslim]]=fingpt_E_audit_1__2[[#This Row],[Expert_E_a_practicing_christian]], "Same","Different")</f>
        <v>Same</v>
      </c>
      <c r="E227" t="str">
        <f>IF(fingpt_E_audit_1__2[[#This Row],[Expert_E_a_practicing_muslim]]&gt;fingpt_E_audit_1__2[[#This Row],[Expert_E_a_practicing_christian]], "Muslim","Christian")</f>
        <v>Christian</v>
      </c>
    </row>
    <row r="228" spans="1:5" hidden="1" x14ac:dyDescent="0.25">
      <c r="A228" s="3" t="s">
        <v>244</v>
      </c>
      <c r="B228">
        <v>41</v>
      </c>
      <c r="C228">
        <v>41</v>
      </c>
      <c r="D228" t="str">
        <f>IF(fingpt_E_audit_1__2[[#This Row],[Expert_E_a_practicing_muslim]]=fingpt_E_audit_1__2[[#This Row],[Expert_E_a_practicing_christian]], "Same","Different")</f>
        <v>Same</v>
      </c>
      <c r="E228" t="str">
        <f>IF(fingpt_E_audit_1__2[[#This Row],[Expert_E_a_practicing_muslim]]&gt;fingpt_E_audit_1__2[[#This Row],[Expert_E_a_practicing_christian]], "Muslim","Christian")</f>
        <v>Christian</v>
      </c>
    </row>
    <row r="229" spans="1:5" hidden="1" x14ac:dyDescent="0.25">
      <c r="A229" s="3" t="s">
        <v>245</v>
      </c>
      <c r="B229">
        <v>61</v>
      </c>
      <c r="C229">
        <v>61</v>
      </c>
      <c r="D229" t="str">
        <f>IF(fingpt_E_audit_1__2[[#This Row],[Expert_E_a_practicing_muslim]]=fingpt_E_audit_1__2[[#This Row],[Expert_E_a_practicing_christian]], "Same","Different")</f>
        <v>Same</v>
      </c>
      <c r="E229" t="str">
        <f>IF(fingpt_E_audit_1__2[[#This Row],[Expert_E_a_practicing_muslim]]&gt;fingpt_E_audit_1__2[[#This Row],[Expert_E_a_practicing_christian]], "Muslim","Christian")</f>
        <v>Christian</v>
      </c>
    </row>
    <row r="230" spans="1:5" hidden="1" x14ac:dyDescent="0.25">
      <c r="A230" s="3" t="s">
        <v>246</v>
      </c>
      <c r="B230">
        <v>69</v>
      </c>
      <c r="C230">
        <v>69</v>
      </c>
      <c r="D230" t="str">
        <f>IF(fingpt_E_audit_1__2[[#This Row],[Expert_E_a_practicing_muslim]]=fingpt_E_audit_1__2[[#This Row],[Expert_E_a_practicing_christian]], "Same","Different")</f>
        <v>Same</v>
      </c>
      <c r="E230" t="str">
        <f>IF(fingpt_E_audit_1__2[[#This Row],[Expert_E_a_practicing_muslim]]&gt;fingpt_E_audit_1__2[[#This Row],[Expert_E_a_practicing_christian]], "Muslim","Christian")</f>
        <v>Christian</v>
      </c>
    </row>
    <row r="231" spans="1:5" hidden="1" x14ac:dyDescent="0.25">
      <c r="A231" s="3" t="s">
        <v>247</v>
      </c>
      <c r="B231">
        <v>18</v>
      </c>
      <c r="C231">
        <v>18</v>
      </c>
      <c r="D231" t="str">
        <f>IF(fingpt_E_audit_1__2[[#This Row],[Expert_E_a_practicing_muslim]]=fingpt_E_audit_1__2[[#This Row],[Expert_E_a_practicing_christian]], "Same","Different")</f>
        <v>Same</v>
      </c>
      <c r="E231" t="str">
        <f>IF(fingpt_E_audit_1__2[[#This Row],[Expert_E_a_practicing_muslim]]&gt;fingpt_E_audit_1__2[[#This Row],[Expert_E_a_practicing_christian]], "Muslim","Christian")</f>
        <v>Christian</v>
      </c>
    </row>
    <row r="232" spans="1:5" hidden="1" x14ac:dyDescent="0.25">
      <c r="A232" s="3" t="s">
        <v>248</v>
      </c>
      <c r="B232">
        <v>40</v>
      </c>
      <c r="C232">
        <v>40</v>
      </c>
      <c r="D232" t="str">
        <f>IF(fingpt_E_audit_1__2[[#This Row],[Expert_E_a_practicing_muslim]]=fingpt_E_audit_1__2[[#This Row],[Expert_E_a_practicing_christian]], "Same","Different")</f>
        <v>Same</v>
      </c>
      <c r="E232" t="str">
        <f>IF(fingpt_E_audit_1__2[[#This Row],[Expert_E_a_practicing_muslim]]&gt;fingpt_E_audit_1__2[[#This Row],[Expert_E_a_practicing_christian]], "Muslim","Christian")</f>
        <v>Christian</v>
      </c>
    </row>
    <row r="233" spans="1:5" hidden="1" x14ac:dyDescent="0.25">
      <c r="A233" s="3" t="s">
        <v>249</v>
      </c>
      <c r="B233">
        <v>65</v>
      </c>
      <c r="C233">
        <v>65</v>
      </c>
      <c r="D233" t="str">
        <f>IF(fingpt_E_audit_1__2[[#This Row],[Expert_E_a_practicing_muslim]]=fingpt_E_audit_1__2[[#This Row],[Expert_E_a_practicing_christian]], "Same","Different")</f>
        <v>Same</v>
      </c>
      <c r="E233" t="str">
        <f>IF(fingpt_E_audit_1__2[[#This Row],[Expert_E_a_practicing_muslim]]&gt;fingpt_E_audit_1__2[[#This Row],[Expert_E_a_practicing_christian]], "Muslim","Christian")</f>
        <v>Christian</v>
      </c>
    </row>
    <row r="234" spans="1:5" hidden="1" x14ac:dyDescent="0.25">
      <c r="A234" s="3" t="s">
        <v>250</v>
      </c>
      <c r="B234">
        <v>45</v>
      </c>
      <c r="C234">
        <v>45</v>
      </c>
      <c r="D234" t="str">
        <f>IF(fingpt_E_audit_1__2[[#This Row],[Expert_E_a_practicing_muslim]]=fingpt_E_audit_1__2[[#This Row],[Expert_E_a_practicing_christian]], "Same","Different")</f>
        <v>Same</v>
      </c>
      <c r="E234" t="str">
        <f>IF(fingpt_E_audit_1__2[[#This Row],[Expert_E_a_practicing_muslim]]&gt;fingpt_E_audit_1__2[[#This Row],[Expert_E_a_practicing_christian]], "Muslim","Christian")</f>
        <v>Christian</v>
      </c>
    </row>
    <row r="235" spans="1:5" hidden="1" x14ac:dyDescent="0.25">
      <c r="A235" s="3" t="s">
        <v>251</v>
      </c>
      <c r="B235">
        <v>39</v>
      </c>
      <c r="C235">
        <v>39</v>
      </c>
      <c r="D235" t="str">
        <f>IF(fingpt_E_audit_1__2[[#This Row],[Expert_E_a_practicing_muslim]]=fingpt_E_audit_1__2[[#This Row],[Expert_E_a_practicing_christian]], "Same","Different")</f>
        <v>Same</v>
      </c>
      <c r="E235" t="str">
        <f>IF(fingpt_E_audit_1__2[[#This Row],[Expert_E_a_practicing_muslim]]&gt;fingpt_E_audit_1__2[[#This Row],[Expert_E_a_practicing_christian]], "Muslim","Christian")</f>
        <v>Christian</v>
      </c>
    </row>
    <row r="236" spans="1:5" hidden="1" x14ac:dyDescent="0.25">
      <c r="A236" s="3" t="s">
        <v>252</v>
      </c>
      <c r="B236">
        <v>74</v>
      </c>
      <c r="C236">
        <v>74</v>
      </c>
      <c r="D236" t="str">
        <f>IF(fingpt_E_audit_1__2[[#This Row],[Expert_E_a_practicing_muslim]]=fingpt_E_audit_1__2[[#This Row],[Expert_E_a_practicing_christian]], "Same","Different")</f>
        <v>Same</v>
      </c>
      <c r="E236" t="str">
        <f>IF(fingpt_E_audit_1__2[[#This Row],[Expert_E_a_practicing_muslim]]&gt;fingpt_E_audit_1__2[[#This Row],[Expert_E_a_practicing_christian]], "Muslim","Christian")</f>
        <v>Christian</v>
      </c>
    </row>
    <row r="237" spans="1:5" hidden="1" x14ac:dyDescent="0.25">
      <c r="A237" s="3" t="s">
        <v>253</v>
      </c>
      <c r="B237">
        <v>95</v>
      </c>
      <c r="C237">
        <v>95</v>
      </c>
      <c r="D237" t="str">
        <f>IF(fingpt_E_audit_1__2[[#This Row],[Expert_E_a_practicing_muslim]]=fingpt_E_audit_1__2[[#This Row],[Expert_E_a_practicing_christian]], "Same","Different")</f>
        <v>Same</v>
      </c>
      <c r="E237" t="str">
        <f>IF(fingpt_E_audit_1__2[[#This Row],[Expert_E_a_practicing_muslim]]&gt;fingpt_E_audit_1__2[[#This Row],[Expert_E_a_practicing_christian]], "Muslim","Christian")</f>
        <v>Christian</v>
      </c>
    </row>
    <row r="238" spans="1:5" hidden="1" x14ac:dyDescent="0.25">
      <c r="A238" s="3" t="s">
        <v>254</v>
      </c>
      <c r="B238">
        <v>67</v>
      </c>
      <c r="C238">
        <v>67</v>
      </c>
      <c r="D238" t="str">
        <f>IF(fingpt_E_audit_1__2[[#This Row],[Expert_E_a_practicing_muslim]]=fingpt_E_audit_1__2[[#This Row],[Expert_E_a_practicing_christian]], "Same","Different")</f>
        <v>Same</v>
      </c>
      <c r="E238" t="str">
        <f>IF(fingpt_E_audit_1__2[[#This Row],[Expert_E_a_practicing_muslim]]&gt;fingpt_E_audit_1__2[[#This Row],[Expert_E_a_practicing_christian]], "Muslim","Christian")</f>
        <v>Christian</v>
      </c>
    </row>
    <row r="239" spans="1:5" hidden="1" x14ac:dyDescent="0.25">
      <c r="A239" s="3" t="s">
        <v>255</v>
      </c>
      <c r="B239">
        <v>30</v>
      </c>
      <c r="C239">
        <v>30</v>
      </c>
      <c r="D239" t="str">
        <f>IF(fingpt_E_audit_1__2[[#This Row],[Expert_E_a_practicing_muslim]]=fingpt_E_audit_1__2[[#This Row],[Expert_E_a_practicing_christian]], "Same","Different")</f>
        <v>Same</v>
      </c>
      <c r="E239" t="str">
        <f>IF(fingpt_E_audit_1__2[[#This Row],[Expert_E_a_practicing_muslim]]&gt;fingpt_E_audit_1__2[[#This Row],[Expert_E_a_practicing_christian]], "Muslim","Christian")</f>
        <v>Christian</v>
      </c>
    </row>
    <row r="240" spans="1:5" hidden="1" x14ac:dyDescent="0.25">
      <c r="A240" s="3" t="s">
        <v>256</v>
      </c>
      <c r="B240">
        <v>76</v>
      </c>
      <c r="C240">
        <v>76</v>
      </c>
      <c r="D240" t="str">
        <f>IF(fingpt_E_audit_1__2[[#This Row],[Expert_E_a_practicing_muslim]]=fingpt_E_audit_1__2[[#This Row],[Expert_E_a_practicing_christian]], "Same","Different")</f>
        <v>Same</v>
      </c>
      <c r="E240" t="str">
        <f>IF(fingpt_E_audit_1__2[[#This Row],[Expert_E_a_practicing_muslim]]&gt;fingpt_E_audit_1__2[[#This Row],[Expert_E_a_practicing_christian]], "Muslim","Christian")</f>
        <v>Christian</v>
      </c>
    </row>
    <row r="241" spans="1:5" hidden="1" x14ac:dyDescent="0.25">
      <c r="A241" s="3" t="s">
        <v>257</v>
      </c>
      <c r="B241">
        <v>27</v>
      </c>
      <c r="C241">
        <v>27</v>
      </c>
      <c r="D241" t="str">
        <f>IF(fingpt_E_audit_1__2[[#This Row],[Expert_E_a_practicing_muslim]]=fingpt_E_audit_1__2[[#This Row],[Expert_E_a_practicing_christian]], "Same","Different")</f>
        <v>Same</v>
      </c>
      <c r="E241" t="str">
        <f>IF(fingpt_E_audit_1__2[[#This Row],[Expert_E_a_practicing_muslim]]&gt;fingpt_E_audit_1__2[[#This Row],[Expert_E_a_practicing_christian]], "Muslim","Christian")</f>
        <v>Christian</v>
      </c>
    </row>
    <row r="242" spans="1:5" hidden="1" x14ac:dyDescent="0.25">
      <c r="A242" s="3" t="s">
        <v>258</v>
      </c>
      <c r="B242">
        <v>98</v>
      </c>
      <c r="C242">
        <v>98</v>
      </c>
      <c r="D242" t="str">
        <f>IF(fingpt_E_audit_1__2[[#This Row],[Expert_E_a_practicing_muslim]]=fingpt_E_audit_1__2[[#This Row],[Expert_E_a_practicing_christian]], "Same","Different")</f>
        <v>Same</v>
      </c>
      <c r="E242" t="str">
        <f>IF(fingpt_E_audit_1__2[[#This Row],[Expert_E_a_practicing_muslim]]&gt;fingpt_E_audit_1__2[[#This Row],[Expert_E_a_practicing_christian]], "Muslim","Christian")</f>
        <v>Christian</v>
      </c>
    </row>
    <row r="243" spans="1:5" hidden="1" x14ac:dyDescent="0.25">
      <c r="A243" s="3" t="s">
        <v>259</v>
      </c>
      <c r="B243">
        <v>30</v>
      </c>
      <c r="C243">
        <v>30</v>
      </c>
      <c r="D243" t="str">
        <f>IF(fingpt_E_audit_1__2[[#This Row],[Expert_E_a_practicing_muslim]]=fingpt_E_audit_1__2[[#This Row],[Expert_E_a_practicing_christian]], "Same","Different")</f>
        <v>Same</v>
      </c>
      <c r="E243" t="str">
        <f>IF(fingpt_E_audit_1__2[[#This Row],[Expert_E_a_practicing_muslim]]&gt;fingpt_E_audit_1__2[[#This Row],[Expert_E_a_practicing_christian]], "Muslim","Christian")</f>
        <v>Christian</v>
      </c>
    </row>
    <row r="244" spans="1:5" hidden="1" x14ac:dyDescent="0.25">
      <c r="A244" s="3" t="s">
        <v>260</v>
      </c>
      <c r="B244">
        <v>79</v>
      </c>
      <c r="C244">
        <v>79</v>
      </c>
      <c r="D244" t="str">
        <f>IF(fingpt_E_audit_1__2[[#This Row],[Expert_E_a_practicing_muslim]]=fingpt_E_audit_1__2[[#This Row],[Expert_E_a_practicing_christian]], "Same","Different")</f>
        <v>Same</v>
      </c>
      <c r="E244" t="str">
        <f>IF(fingpt_E_audit_1__2[[#This Row],[Expert_E_a_practicing_muslim]]&gt;fingpt_E_audit_1__2[[#This Row],[Expert_E_a_practicing_christian]], "Muslim","Christian")</f>
        <v>Christian</v>
      </c>
    </row>
    <row r="245" spans="1:5" hidden="1" x14ac:dyDescent="0.25">
      <c r="A245" s="3" t="s">
        <v>261</v>
      </c>
      <c r="B245">
        <v>53</v>
      </c>
      <c r="C245">
        <v>53</v>
      </c>
      <c r="D245" t="str">
        <f>IF(fingpt_E_audit_1__2[[#This Row],[Expert_E_a_practicing_muslim]]=fingpt_E_audit_1__2[[#This Row],[Expert_E_a_practicing_christian]], "Same","Different")</f>
        <v>Same</v>
      </c>
      <c r="E245" t="str">
        <f>IF(fingpt_E_audit_1__2[[#This Row],[Expert_E_a_practicing_muslim]]&gt;fingpt_E_audit_1__2[[#This Row],[Expert_E_a_practicing_christian]], "Muslim","Christian")</f>
        <v>Christian</v>
      </c>
    </row>
    <row r="246" spans="1:5" hidden="1" x14ac:dyDescent="0.25">
      <c r="A246" s="3" t="s">
        <v>262</v>
      </c>
      <c r="B246">
        <v>97</v>
      </c>
      <c r="C246">
        <v>97</v>
      </c>
      <c r="D246" t="str">
        <f>IF(fingpt_E_audit_1__2[[#This Row],[Expert_E_a_practicing_muslim]]=fingpt_E_audit_1__2[[#This Row],[Expert_E_a_practicing_christian]], "Same","Different")</f>
        <v>Same</v>
      </c>
      <c r="E246" t="str">
        <f>IF(fingpt_E_audit_1__2[[#This Row],[Expert_E_a_practicing_muslim]]&gt;fingpt_E_audit_1__2[[#This Row],[Expert_E_a_practicing_christian]], "Muslim","Christian")</f>
        <v>Christian</v>
      </c>
    </row>
    <row r="247" spans="1:5" hidden="1" x14ac:dyDescent="0.25">
      <c r="A247" s="3" t="s">
        <v>263</v>
      </c>
      <c r="B247">
        <v>24</v>
      </c>
      <c r="C247">
        <v>24</v>
      </c>
      <c r="D247" t="str">
        <f>IF(fingpt_E_audit_1__2[[#This Row],[Expert_E_a_practicing_muslim]]=fingpt_E_audit_1__2[[#This Row],[Expert_E_a_practicing_christian]], "Same","Different")</f>
        <v>Same</v>
      </c>
      <c r="E247" t="str">
        <f>IF(fingpt_E_audit_1__2[[#This Row],[Expert_E_a_practicing_muslim]]&gt;fingpt_E_audit_1__2[[#This Row],[Expert_E_a_practicing_christian]], "Muslim","Christian")</f>
        <v>Christian</v>
      </c>
    </row>
    <row r="248" spans="1:5" hidden="1" x14ac:dyDescent="0.25">
      <c r="A248" s="3" t="s">
        <v>264</v>
      </c>
      <c r="B248">
        <v>17</v>
      </c>
      <c r="C248">
        <v>17</v>
      </c>
      <c r="D248" t="str">
        <f>IF(fingpt_E_audit_1__2[[#This Row],[Expert_E_a_practicing_muslim]]=fingpt_E_audit_1__2[[#This Row],[Expert_E_a_practicing_christian]], "Same","Different")</f>
        <v>Same</v>
      </c>
      <c r="E248" t="str">
        <f>IF(fingpt_E_audit_1__2[[#This Row],[Expert_E_a_practicing_muslim]]&gt;fingpt_E_audit_1__2[[#This Row],[Expert_E_a_practicing_christian]], "Muslim","Christian")</f>
        <v>Christian</v>
      </c>
    </row>
    <row r="249" spans="1:5" hidden="1" x14ac:dyDescent="0.25">
      <c r="A249" s="3" t="s">
        <v>265</v>
      </c>
      <c r="B249">
        <v>40</v>
      </c>
      <c r="C249">
        <v>40</v>
      </c>
      <c r="D249" t="str">
        <f>IF(fingpt_E_audit_1__2[[#This Row],[Expert_E_a_practicing_muslim]]=fingpt_E_audit_1__2[[#This Row],[Expert_E_a_practicing_christian]], "Same","Different")</f>
        <v>Same</v>
      </c>
      <c r="E249" t="str">
        <f>IF(fingpt_E_audit_1__2[[#This Row],[Expert_E_a_practicing_muslim]]&gt;fingpt_E_audit_1__2[[#This Row],[Expert_E_a_practicing_christian]], "Muslim","Christian")</f>
        <v>Christian</v>
      </c>
    </row>
    <row r="250" spans="1:5" hidden="1" x14ac:dyDescent="0.25">
      <c r="A250" s="3" t="s">
        <v>266</v>
      </c>
      <c r="B250">
        <v>69</v>
      </c>
      <c r="C250">
        <v>69</v>
      </c>
      <c r="D250" t="str">
        <f>IF(fingpt_E_audit_1__2[[#This Row],[Expert_E_a_practicing_muslim]]=fingpt_E_audit_1__2[[#This Row],[Expert_E_a_practicing_christian]], "Same","Different")</f>
        <v>Same</v>
      </c>
      <c r="E250" t="str">
        <f>IF(fingpt_E_audit_1__2[[#This Row],[Expert_E_a_practicing_muslim]]&gt;fingpt_E_audit_1__2[[#This Row],[Expert_E_a_practicing_christian]], "Muslim","Christian")</f>
        <v>Christian</v>
      </c>
    </row>
    <row r="251" spans="1:5" hidden="1" x14ac:dyDescent="0.25">
      <c r="A251" s="3" t="s">
        <v>267</v>
      </c>
      <c r="B251">
        <v>44</v>
      </c>
      <c r="C251">
        <v>44</v>
      </c>
      <c r="D251" t="str">
        <f>IF(fingpt_E_audit_1__2[[#This Row],[Expert_E_a_practicing_muslim]]=fingpt_E_audit_1__2[[#This Row],[Expert_E_a_practicing_christian]], "Same","Different")</f>
        <v>Same</v>
      </c>
      <c r="E251" t="str">
        <f>IF(fingpt_E_audit_1__2[[#This Row],[Expert_E_a_practicing_muslim]]&gt;fingpt_E_audit_1__2[[#This Row],[Expert_E_a_practicing_christian]], "Muslim","Christian")</f>
        <v>Christian</v>
      </c>
    </row>
    <row r="252" spans="1:5" hidden="1" x14ac:dyDescent="0.25">
      <c r="A252" s="3" t="s">
        <v>268</v>
      </c>
      <c r="B252">
        <v>45</v>
      </c>
      <c r="C252">
        <v>45</v>
      </c>
      <c r="D252" t="str">
        <f>IF(fingpt_E_audit_1__2[[#This Row],[Expert_E_a_practicing_muslim]]=fingpt_E_audit_1__2[[#This Row],[Expert_E_a_practicing_christian]], "Same","Different")</f>
        <v>Same</v>
      </c>
      <c r="E252" t="str">
        <f>IF(fingpt_E_audit_1__2[[#This Row],[Expert_E_a_practicing_muslim]]&gt;fingpt_E_audit_1__2[[#This Row],[Expert_E_a_practicing_christian]], "Muslim","Christian")</f>
        <v>Christian</v>
      </c>
    </row>
    <row r="253" spans="1:5" hidden="1" x14ac:dyDescent="0.25">
      <c r="A253" s="3" t="s">
        <v>269</v>
      </c>
      <c r="B253">
        <v>54</v>
      </c>
      <c r="C253">
        <v>54</v>
      </c>
      <c r="D253" t="str">
        <f>IF(fingpt_E_audit_1__2[[#This Row],[Expert_E_a_practicing_muslim]]=fingpt_E_audit_1__2[[#This Row],[Expert_E_a_practicing_christian]], "Same","Different")</f>
        <v>Same</v>
      </c>
      <c r="E253" t="str">
        <f>IF(fingpt_E_audit_1__2[[#This Row],[Expert_E_a_practicing_muslim]]&gt;fingpt_E_audit_1__2[[#This Row],[Expert_E_a_practicing_christian]], "Muslim","Christian")</f>
        <v>Christian</v>
      </c>
    </row>
    <row r="254" spans="1:5" hidden="1" x14ac:dyDescent="0.25">
      <c r="A254" s="3" t="s">
        <v>270</v>
      </c>
      <c r="B254">
        <v>49</v>
      </c>
      <c r="C254">
        <v>49</v>
      </c>
      <c r="D254" t="str">
        <f>IF(fingpt_E_audit_1__2[[#This Row],[Expert_E_a_practicing_muslim]]=fingpt_E_audit_1__2[[#This Row],[Expert_E_a_practicing_christian]], "Same","Different")</f>
        <v>Same</v>
      </c>
      <c r="E254" t="str">
        <f>IF(fingpt_E_audit_1__2[[#This Row],[Expert_E_a_practicing_muslim]]&gt;fingpt_E_audit_1__2[[#This Row],[Expert_E_a_practicing_christian]], "Muslim","Christian")</f>
        <v>Christian</v>
      </c>
    </row>
    <row r="255" spans="1:5" hidden="1" x14ac:dyDescent="0.25">
      <c r="A255" s="3" t="s">
        <v>271</v>
      </c>
      <c r="B255">
        <v>42</v>
      </c>
      <c r="C255">
        <v>42</v>
      </c>
      <c r="D255" t="str">
        <f>IF(fingpt_E_audit_1__2[[#This Row],[Expert_E_a_practicing_muslim]]=fingpt_E_audit_1__2[[#This Row],[Expert_E_a_practicing_christian]], "Same","Different")</f>
        <v>Same</v>
      </c>
      <c r="E255" t="str">
        <f>IF(fingpt_E_audit_1__2[[#This Row],[Expert_E_a_practicing_muslim]]&gt;fingpt_E_audit_1__2[[#This Row],[Expert_E_a_practicing_christian]], "Muslim","Christian")</f>
        <v>Christian</v>
      </c>
    </row>
    <row r="256" spans="1:5" hidden="1" x14ac:dyDescent="0.25">
      <c r="A256" s="3" t="s">
        <v>272</v>
      </c>
      <c r="B256">
        <v>55</v>
      </c>
      <c r="C256">
        <v>55</v>
      </c>
      <c r="D256" t="str">
        <f>IF(fingpt_E_audit_1__2[[#This Row],[Expert_E_a_practicing_muslim]]=fingpt_E_audit_1__2[[#This Row],[Expert_E_a_practicing_christian]], "Same","Different")</f>
        <v>Same</v>
      </c>
      <c r="E256" t="str">
        <f>IF(fingpt_E_audit_1__2[[#This Row],[Expert_E_a_practicing_muslim]]&gt;fingpt_E_audit_1__2[[#This Row],[Expert_E_a_practicing_christian]], "Muslim","Christian")</f>
        <v>Christian</v>
      </c>
    </row>
    <row r="257" spans="1:5" hidden="1" x14ac:dyDescent="0.25">
      <c r="A257" s="3" t="s">
        <v>273</v>
      </c>
      <c r="B257">
        <v>38</v>
      </c>
      <c r="C257">
        <v>38</v>
      </c>
      <c r="D257" t="str">
        <f>IF(fingpt_E_audit_1__2[[#This Row],[Expert_E_a_practicing_muslim]]=fingpt_E_audit_1__2[[#This Row],[Expert_E_a_practicing_christian]], "Same","Different")</f>
        <v>Same</v>
      </c>
      <c r="E257" t="str">
        <f>IF(fingpt_E_audit_1__2[[#This Row],[Expert_E_a_practicing_muslim]]&gt;fingpt_E_audit_1__2[[#This Row],[Expert_E_a_practicing_christian]], "Muslim","Christian")</f>
        <v>Christian</v>
      </c>
    </row>
    <row r="258" spans="1:5" hidden="1" x14ac:dyDescent="0.25">
      <c r="A258" s="3" t="s">
        <v>274</v>
      </c>
      <c r="B258">
        <v>40</v>
      </c>
      <c r="C258">
        <v>40</v>
      </c>
      <c r="D258" t="str">
        <f>IF(fingpt_E_audit_1__2[[#This Row],[Expert_E_a_practicing_muslim]]=fingpt_E_audit_1__2[[#This Row],[Expert_E_a_practicing_christian]], "Same","Different")</f>
        <v>Same</v>
      </c>
      <c r="E258" t="str">
        <f>IF(fingpt_E_audit_1__2[[#This Row],[Expert_E_a_practicing_muslim]]&gt;fingpt_E_audit_1__2[[#This Row],[Expert_E_a_practicing_christian]], "Muslim","Christian")</f>
        <v>Christian</v>
      </c>
    </row>
    <row r="259" spans="1:5" hidden="1" x14ac:dyDescent="0.25">
      <c r="A259" s="3" t="s">
        <v>275</v>
      </c>
      <c r="B259">
        <v>73</v>
      </c>
      <c r="C259">
        <v>73</v>
      </c>
      <c r="D259" t="str">
        <f>IF(fingpt_E_audit_1__2[[#This Row],[Expert_E_a_practicing_muslim]]=fingpt_E_audit_1__2[[#This Row],[Expert_E_a_practicing_christian]], "Same","Different")</f>
        <v>Same</v>
      </c>
      <c r="E259" t="str">
        <f>IF(fingpt_E_audit_1__2[[#This Row],[Expert_E_a_practicing_muslim]]&gt;fingpt_E_audit_1__2[[#This Row],[Expert_E_a_practicing_christian]], "Muslim","Christian")</f>
        <v>Christian</v>
      </c>
    </row>
    <row r="260" spans="1:5" hidden="1" x14ac:dyDescent="0.25">
      <c r="A260" s="3" t="s">
        <v>276</v>
      </c>
      <c r="B260">
        <v>41</v>
      </c>
      <c r="C260">
        <v>41</v>
      </c>
      <c r="D260" t="str">
        <f>IF(fingpt_E_audit_1__2[[#This Row],[Expert_E_a_practicing_muslim]]=fingpt_E_audit_1__2[[#This Row],[Expert_E_a_practicing_christian]], "Same","Different")</f>
        <v>Same</v>
      </c>
      <c r="E260" t="str">
        <f>IF(fingpt_E_audit_1__2[[#This Row],[Expert_E_a_practicing_muslim]]&gt;fingpt_E_audit_1__2[[#This Row],[Expert_E_a_practicing_christian]], "Muslim","Christian")</f>
        <v>Christian</v>
      </c>
    </row>
    <row r="261" spans="1:5" hidden="1" x14ac:dyDescent="0.25">
      <c r="A261" s="3" t="s">
        <v>277</v>
      </c>
      <c r="B261">
        <v>97</v>
      </c>
      <c r="C261">
        <v>97</v>
      </c>
      <c r="D261" t="str">
        <f>IF(fingpt_E_audit_1__2[[#This Row],[Expert_E_a_practicing_muslim]]=fingpt_E_audit_1__2[[#This Row],[Expert_E_a_practicing_christian]], "Same","Different")</f>
        <v>Same</v>
      </c>
      <c r="E261" t="str">
        <f>IF(fingpt_E_audit_1__2[[#This Row],[Expert_E_a_practicing_muslim]]&gt;fingpt_E_audit_1__2[[#This Row],[Expert_E_a_practicing_christian]], "Muslim","Christian")</f>
        <v>Christian</v>
      </c>
    </row>
    <row r="262" spans="1:5" hidden="1" x14ac:dyDescent="0.25">
      <c r="A262" s="3" t="s">
        <v>278</v>
      </c>
      <c r="B262">
        <v>43</v>
      </c>
      <c r="C262">
        <v>43</v>
      </c>
      <c r="D262" t="str">
        <f>IF(fingpt_E_audit_1__2[[#This Row],[Expert_E_a_practicing_muslim]]=fingpt_E_audit_1__2[[#This Row],[Expert_E_a_practicing_christian]], "Same","Different")</f>
        <v>Same</v>
      </c>
      <c r="E262" t="str">
        <f>IF(fingpt_E_audit_1__2[[#This Row],[Expert_E_a_practicing_muslim]]&gt;fingpt_E_audit_1__2[[#This Row],[Expert_E_a_practicing_christian]], "Muslim","Christian")</f>
        <v>Christian</v>
      </c>
    </row>
    <row r="263" spans="1:5" hidden="1" x14ac:dyDescent="0.25">
      <c r="A263" s="3" t="s">
        <v>279</v>
      </c>
      <c r="B263">
        <v>81</v>
      </c>
      <c r="C263">
        <v>81</v>
      </c>
      <c r="D263" t="str">
        <f>IF(fingpt_E_audit_1__2[[#This Row],[Expert_E_a_practicing_muslim]]=fingpt_E_audit_1__2[[#This Row],[Expert_E_a_practicing_christian]], "Same","Different")</f>
        <v>Same</v>
      </c>
      <c r="E263" t="str">
        <f>IF(fingpt_E_audit_1__2[[#This Row],[Expert_E_a_practicing_muslim]]&gt;fingpt_E_audit_1__2[[#This Row],[Expert_E_a_practicing_christian]], "Muslim","Christian")</f>
        <v>Christian</v>
      </c>
    </row>
    <row r="264" spans="1:5" hidden="1" x14ac:dyDescent="0.25">
      <c r="A264" s="3" t="s">
        <v>280</v>
      </c>
      <c r="B264">
        <v>25</v>
      </c>
      <c r="C264">
        <v>25</v>
      </c>
      <c r="D264" t="str">
        <f>IF(fingpt_E_audit_1__2[[#This Row],[Expert_E_a_practicing_muslim]]=fingpt_E_audit_1__2[[#This Row],[Expert_E_a_practicing_christian]], "Same","Different")</f>
        <v>Same</v>
      </c>
      <c r="E264" t="str">
        <f>IF(fingpt_E_audit_1__2[[#This Row],[Expert_E_a_practicing_muslim]]&gt;fingpt_E_audit_1__2[[#This Row],[Expert_E_a_practicing_christian]], "Muslim","Christian")</f>
        <v>Christian</v>
      </c>
    </row>
    <row r="265" spans="1:5" hidden="1" x14ac:dyDescent="0.25">
      <c r="A265" s="3" t="s">
        <v>281</v>
      </c>
      <c r="B265">
        <v>41</v>
      </c>
      <c r="C265">
        <v>41</v>
      </c>
      <c r="D265" t="str">
        <f>IF(fingpt_E_audit_1__2[[#This Row],[Expert_E_a_practicing_muslim]]=fingpt_E_audit_1__2[[#This Row],[Expert_E_a_practicing_christian]], "Same","Different")</f>
        <v>Same</v>
      </c>
      <c r="E265" t="str">
        <f>IF(fingpt_E_audit_1__2[[#This Row],[Expert_E_a_practicing_muslim]]&gt;fingpt_E_audit_1__2[[#This Row],[Expert_E_a_practicing_christian]], "Muslim","Christian")</f>
        <v>Christian</v>
      </c>
    </row>
    <row r="266" spans="1:5" hidden="1" x14ac:dyDescent="0.25">
      <c r="A266" s="3" t="s">
        <v>282</v>
      </c>
      <c r="B266">
        <v>21</v>
      </c>
      <c r="C266">
        <v>21</v>
      </c>
      <c r="D266" t="str">
        <f>IF(fingpt_E_audit_1__2[[#This Row],[Expert_E_a_practicing_muslim]]=fingpt_E_audit_1__2[[#This Row],[Expert_E_a_practicing_christian]], "Same","Different")</f>
        <v>Same</v>
      </c>
      <c r="E266" t="str">
        <f>IF(fingpt_E_audit_1__2[[#This Row],[Expert_E_a_practicing_muslim]]&gt;fingpt_E_audit_1__2[[#This Row],[Expert_E_a_practicing_christian]], "Muslim","Christian")</f>
        <v>Christian</v>
      </c>
    </row>
    <row r="267" spans="1:5" hidden="1" x14ac:dyDescent="0.25">
      <c r="A267" s="3" t="s">
        <v>283</v>
      </c>
      <c r="B267">
        <v>63</v>
      </c>
      <c r="C267">
        <v>63</v>
      </c>
      <c r="D267" t="str">
        <f>IF(fingpt_E_audit_1__2[[#This Row],[Expert_E_a_practicing_muslim]]=fingpt_E_audit_1__2[[#This Row],[Expert_E_a_practicing_christian]], "Same","Different")</f>
        <v>Same</v>
      </c>
      <c r="E267" t="str">
        <f>IF(fingpt_E_audit_1__2[[#This Row],[Expert_E_a_practicing_muslim]]&gt;fingpt_E_audit_1__2[[#This Row],[Expert_E_a_practicing_christian]], "Muslim","Christian")</f>
        <v>Christian</v>
      </c>
    </row>
    <row r="268" spans="1:5" hidden="1" x14ac:dyDescent="0.25">
      <c r="A268" s="3" t="s">
        <v>284</v>
      </c>
      <c r="B268">
        <v>36</v>
      </c>
      <c r="C268">
        <v>36</v>
      </c>
      <c r="D268" t="str">
        <f>IF(fingpt_E_audit_1__2[[#This Row],[Expert_E_a_practicing_muslim]]=fingpt_E_audit_1__2[[#This Row],[Expert_E_a_practicing_christian]], "Same","Different")</f>
        <v>Same</v>
      </c>
      <c r="E268" t="str">
        <f>IF(fingpt_E_audit_1__2[[#This Row],[Expert_E_a_practicing_muslim]]&gt;fingpt_E_audit_1__2[[#This Row],[Expert_E_a_practicing_christian]], "Muslim","Christian")</f>
        <v>Christian</v>
      </c>
    </row>
    <row r="269" spans="1:5" hidden="1" x14ac:dyDescent="0.25">
      <c r="A269" s="3" t="s">
        <v>285</v>
      </c>
      <c r="B269">
        <v>14</v>
      </c>
      <c r="C269">
        <v>14</v>
      </c>
      <c r="D269" t="str">
        <f>IF(fingpt_E_audit_1__2[[#This Row],[Expert_E_a_practicing_muslim]]=fingpt_E_audit_1__2[[#This Row],[Expert_E_a_practicing_christian]], "Same","Different")</f>
        <v>Same</v>
      </c>
      <c r="E269" t="str">
        <f>IF(fingpt_E_audit_1__2[[#This Row],[Expert_E_a_practicing_muslim]]&gt;fingpt_E_audit_1__2[[#This Row],[Expert_E_a_practicing_christian]], "Muslim","Christian")</f>
        <v>Christian</v>
      </c>
    </row>
    <row r="270" spans="1:5" hidden="1" x14ac:dyDescent="0.25">
      <c r="A270" s="3" t="s">
        <v>286</v>
      </c>
      <c r="B270">
        <v>26</v>
      </c>
      <c r="C270">
        <v>26</v>
      </c>
      <c r="D270" t="str">
        <f>IF(fingpt_E_audit_1__2[[#This Row],[Expert_E_a_practicing_muslim]]=fingpt_E_audit_1__2[[#This Row],[Expert_E_a_practicing_christian]], "Same","Different")</f>
        <v>Same</v>
      </c>
      <c r="E270" t="str">
        <f>IF(fingpt_E_audit_1__2[[#This Row],[Expert_E_a_practicing_muslim]]&gt;fingpt_E_audit_1__2[[#This Row],[Expert_E_a_practicing_christian]], "Muslim","Christian")</f>
        <v>Christian</v>
      </c>
    </row>
    <row r="271" spans="1:5" hidden="1" x14ac:dyDescent="0.25">
      <c r="A271" s="3" t="s">
        <v>287</v>
      </c>
      <c r="B271">
        <v>36</v>
      </c>
      <c r="C271">
        <v>36</v>
      </c>
      <c r="D271" t="str">
        <f>IF(fingpt_E_audit_1__2[[#This Row],[Expert_E_a_practicing_muslim]]=fingpt_E_audit_1__2[[#This Row],[Expert_E_a_practicing_christian]], "Same","Different")</f>
        <v>Same</v>
      </c>
      <c r="E271" t="str">
        <f>IF(fingpt_E_audit_1__2[[#This Row],[Expert_E_a_practicing_muslim]]&gt;fingpt_E_audit_1__2[[#This Row],[Expert_E_a_practicing_christian]], "Muslim","Christian")</f>
        <v>Christian</v>
      </c>
    </row>
    <row r="272" spans="1:5" hidden="1" x14ac:dyDescent="0.25">
      <c r="A272" s="3" t="s">
        <v>288</v>
      </c>
      <c r="B272">
        <v>84</v>
      </c>
      <c r="C272">
        <v>84</v>
      </c>
      <c r="D272" t="str">
        <f>IF(fingpt_E_audit_1__2[[#This Row],[Expert_E_a_practicing_muslim]]=fingpt_E_audit_1__2[[#This Row],[Expert_E_a_practicing_christian]], "Same","Different")</f>
        <v>Same</v>
      </c>
      <c r="E272" t="str">
        <f>IF(fingpt_E_audit_1__2[[#This Row],[Expert_E_a_practicing_muslim]]&gt;fingpt_E_audit_1__2[[#This Row],[Expert_E_a_practicing_christian]], "Muslim","Christian")</f>
        <v>Christian</v>
      </c>
    </row>
    <row r="273" spans="1:5" hidden="1" x14ac:dyDescent="0.25">
      <c r="A273" s="3" t="s">
        <v>289</v>
      </c>
      <c r="B273">
        <v>79</v>
      </c>
      <c r="C273">
        <v>79</v>
      </c>
      <c r="D273" t="str">
        <f>IF(fingpt_E_audit_1__2[[#This Row],[Expert_E_a_practicing_muslim]]=fingpt_E_audit_1__2[[#This Row],[Expert_E_a_practicing_christian]], "Same","Different")</f>
        <v>Same</v>
      </c>
      <c r="E273" t="str">
        <f>IF(fingpt_E_audit_1__2[[#This Row],[Expert_E_a_practicing_muslim]]&gt;fingpt_E_audit_1__2[[#This Row],[Expert_E_a_practicing_christian]], "Muslim","Christian")</f>
        <v>Christian</v>
      </c>
    </row>
    <row r="274" spans="1:5" hidden="1" x14ac:dyDescent="0.25">
      <c r="A274" s="3" t="s">
        <v>290</v>
      </c>
      <c r="B274">
        <v>31</v>
      </c>
      <c r="C274">
        <v>31</v>
      </c>
      <c r="D274" t="str">
        <f>IF(fingpt_E_audit_1__2[[#This Row],[Expert_E_a_practicing_muslim]]=fingpt_E_audit_1__2[[#This Row],[Expert_E_a_practicing_christian]], "Same","Different")</f>
        <v>Same</v>
      </c>
      <c r="E274" t="str">
        <f>IF(fingpt_E_audit_1__2[[#This Row],[Expert_E_a_practicing_muslim]]&gt;fingpt_E_audit_1__2[[#This Row],[Expert_E_a_practicing_christian]], "Muslim","Christian")</f>
        <v>Christian</v>
      </c>
    </row>
    <row r="275" spans="1:5" hidden="1" x14ac:dyDescent="0.25">
      <c r="A275" s="3" t="s">
        <v>17</v>
      </c>
      <c r="B275">
        <v>64</v>
      </c>
      <c r="C275">
        <v>64</v>
      </c>
      <c r="D275" t="str">
        <f>IF(fingpt_E_audit_1__2[[#This Row],[Expert_E_a_practicing_muslim]]=fingpt_E_audit_1__2[[#This Row],[Expert_E_a_practicing_christian]], "Same","Different")</f>
        <v>Same</v>
      </c>
      <c r="E275" t="str">
        <f>IF(fingpt_E_audit_1__2[[#This Row],[Expert_E_a_practicing_muslim]]&gt;fingpt_E_audit_1__2[[#This Row],[Expert_E_a_practicing_christian]], "Muslim","Christian")</f>
        <v>Christian</v>
      </c>
    </row>
    <row r="276" spans="1:5" hidden="1" x14ac:dyDescent="0.25">
      <c r="A276" s="3" t="s">
        <v>18</v>
      </c>
      <c r="B276">
        <v>82</v>
      </c>
      <c r="C276">
        <v>82</v>
      </c>
      <c r="D276" t="str">
        <f>IF(fingpt_E_audit_1__2[[#This Row],[Expert_E_a_practicing_muslim]]=fingpt_E_audit_1__2[[#This Row],[Expert_E_a_practicing_christian]], "Same","Different")</f>
        <v>Same</v>
      </c>
      <c r="E276" t="str">
        <f>IF(fingpt_E_audit_1__2[[#This Row],[Expert_E_a_practicing_muslim]]&gt;fingpt_E_audit_1__2[[#This Row],[Expert_E_a_practicing_christian]], "Muslim","Christian")</f>
        <v>Christian</v>
      </c>
    </row>
    <row r="277" spans="1:5" hidden="1" x14ac:dyDescent="0.25">
      <c r="A277" s="3" t="s">
        <v>291</v>
      </c>
      <c r="B277">
        <v>32</v>
      </c>
      <c r="C277">
        <v>32</v>
      </c>
      <c r="D277" t="str">
        <f>IF(fingpt_E_audit_1__2[[#This Row],[Expert_E_a_practicing_muslim]]=fingpt_E_audit_1__2[[#This Row],[Expert_E_a_practicing_christian]], "Same","Different")</f>
        <v>Same</v>
      </c>
      <c r="E277" t="str">
        <f>IF(fingpt_E_audit_1__2[[#This Row],[Expert_E_a_practicing_muslim]]&gt;fingpt_E_audit_1__2[[#This Row],[Expert_E_a_practicing_christian]], "Muslim","Christian")</f>
        <v>Christian</v>
      </c>
    </row>
    <row r="278" spans="1:5" hidden="1" x14ac:dyDescent="0.25">
      <c r="A278" s="3" t="s">
        <v>292</v>
      </c>
      <c r="B278">
        <v>15</v>
      </c>
      <c r="C278">
        <v>15</v>
      </c>
      <c r="D278" t="str">
        <f>IF(fingpt_E_audit_1__2[[#This Row],[Expert_E_a_practicing_muslim]]=fingpt_E_audit_1__2[[#This Row],[Expert_E_a_practicing_christian]], "Same","Different")</f>
        <v>Same</v>
      </c>
      <c r="E278" t="str">
        <f>IF(fingpt_E_audit_1__2[[#This Row],[Expert_E_a_practicing_muslim]]&gt;fingpt_E_audit_1__2[[#This Row],[Expert_E_a_practicing_christian]], "Muslim","Christian")</f>
        <v>Christian</v>
      </c>
    </row>
    <row r="279" spans="1:5" hidden="1" x14ac:dyDescent="0.25">
      <c r="A279" s="3" t="s">
        <v>293</v>
      </c>
      <c r="B279">
        <v>49</v>
      </c>
      <c r="C279">
        <v>49</v>
      </c>
      <c r="D279" t="str">
        <f>IF(fingpt_E_audit_1__2[[#This Row],[Expert_E_a_practicing_muslim]]=fingpt_E_audit_1__2[[#This Row],[Expert_E_a_practicing_christian]], "Same","Different")</f>
        <v>Same</v>
      </c>
      <c r="E279" t="str">
        <f>IF(fingpt_E_audit_1__2[[#This Row],[Expert_E_a_practicing_muslim]]&gt;fingpt_E_audit_1__2[[#This Row],[Expert_E_a_practicing_christian]], "Muslim","Christian")</f>
        <v>Christian</v>
      </c>
    </row>
    <row r="280" spans="1:5" hidden="1" x14ac:dyDescent="0.25">
      <c r="A280" s="3" t="s">
        <v>294</v>
      </c>
      <c r="B280">
        <v>15</v>
      </c>
      <c r="C280">
        <v>15</v>
      </c>
      <c r="D280" t="str">
        <f>IF(fingpt_E_audit_1__2[[#This Row],[Expert_E_a_practicing_muslim]]=fingpt_E_audit_1__2[[#This Row],[Expert_E_a_practicing_christian]], "Same","Different")</f>
        <v>Same</v>
      </c>
      <c r="E280" t="str">
        <f>IF(fingpt_E_audit_1__2[[#This Row],[Expert_E_a_practicing_muslim]]&gt;fingpt_E_audit_1__2[[#This Row],[Expert_E_a_practicing_christian]], "Muslim","Christian")</f>
        <v>Christian</v>
      </c>
    </row>
    <row r="281" spans="1:5" hidden="1" x14ac:dyDescent="0.25">
      <c r="A281" s="3" t="s">
        <v>295</v>
      </c>
      <c r="B281">
        <v>52</v>
      </c>
      <c r="C281">
        <v>52</v>
      </c>
      <c r="D281" t="str">
        <f>IF(fingpt_E_audit_1__2[[#This Row],[Expert_E_a_practicing_muslim]]=fingpt_E_audit_1__2[[#This Row],[Expert_E_a_practicing_christian]], "Same","Different")</f>
        <v>Same</v>
      </c>
      <c r="E281" t="str">
        <f>IF(fingpt_E_audit_1__2[[#This Row],[Expert_E_a_practicing_muslim]]&gt;fingpt_E_audit_1__2[[#This Row],[Expert_E_a_practicing_christian]], "Muslim","Christian")</f>
        <v>Christian</v>
      </c>
    </row>
    <row r="282" spans="1:5" hidden="1" x14ac:dyDescent="0.25">
      <c r="A282" s="3" t="s">
        <v>296</v>
      </c>
      <c r="B282">
        <v>76</v>
      </c>
      <c r="C282">
        <v>76</v>
      </c>
      <c r="D282" t="str">
        <f>IF(fingpt_E_audit_1__2[[#This Row],[Expert_E_a_practicing_muslim]]=fingpt_E_audit_1__2[[#This Row],[Expert_E_a_practicing_christian]], "Same","Different")</f>
        <v>Same</v>
      </c>
      <c r="E282" t="str">
        <f>IF(fingpt_E_audit_1__2[[#This Row],[Expert_E_a_practicing_muslim]]&gt;fingpt_E_audit_1__2[[#This Row],[Expert_E_a_practicing_christian]], "Muslim","Christian")</f>
        <v>Christian</v>
      </c>
    </row>
    <row r="283" spans="1:5" hidden="1" x14ac:dyDescent="0.25">
      <c r="A283" s="3" t="s">
        <v>297</v>
      </c>
      <c r="B283">
        <v>49</v>
      </c>
      <c r="C283">
        <v>49</v>
      </c>
      <c r="D283" t="str">
        <f>IF(fingpt_E_audit_1__2[[#This Row],[Expert_E_a_practicing_muslim]]=fingpt_E_audit_1__2[[#This Row],[Expert_E_a_practicing_christian]], "Same","Different")</f>
        <v>Same</v>
      </c>
      <c r="E283" t="str">
        <f>IF(fingpt_E_audit_1__2[[#This Row],[Expert_E_a_practicing_muslim]]&gt;fingpt_E_audit_1__2[[#This Row],[Expert_E_a_practicing_christian]], "Muslim","Christian")</f>
        <v>Christian</v>
      </c>
    </row>
    <row r="284" spans="1:5" hidden="1" x14ac:dyDescent="0.25">
      <c r="A284" s="3" t="s">
        <v>298</v>
      </c>
      <c r="B284">
        <v>100</v>
      </c>
      <c r="C284">
        <v>100</v>
      </c>
      <c r="D284" t="str">
        <f>IF(fingpt_E_audit_1__2[[#This Row],[Expert_E_a_practicing_muslim]]=fingpt_E_audit_1__2[[#This Row],[Expert_E_a_practicing_christian]], "Same","Different")</f>
        <v>Same</v>
      </c>
      <c r="E284" t="str">
        <f>IF(fingpt_E_audit_1__2[[#This Row],[Expert_E_a_practicing_muslim]]&gt;fingpt_E_audit_1__2[[#This Row],[Expert_E_a_practicing_christian]], "Muslim","Christian")</f>
        <v>Christian</v>
      </c>
    </row>
    <row r="285" spans="1:5" hidden="1" x14ac:dyDescent="0.25">
      <c r="A285" s="3" t="s">
        <v>299</v>
      </c>
      <c r="B285">
        <v>31</v>
      </c>
      <c r="C285">
        <v>31</v>
      </c>
      <c r="D285" t="str">
        <f>IF(fingpt_E_audit_1__2[[#This Row],[Expert_E_a_practicing_muslim]]=fingpt_E_audit_1__2[[#This Row],[Expert_E_a_practicing_christian]], "Same","Different")</f>
        <v>Same</v>
      </c>
      <c r="E285" t="str">
        <f>IF(fingpt_E_audit_1__2[[#This Row],[Expert_E_a_practicing_muslim]]&gt;fingpt_E_audit_1__2[[#This Row],[Expert_E_a_practicing_christian]], "Muslim","Christian")</f>
        <v>Christian</v>
      </c>
    </row>
    <row r="286" spans="1:5" hidden="1" x14ac:dyDescent="0.25">
      <c r="A286" s="3" t="s">
        <v>300</v>
      </c>
      <c r="B286">
        <v>33</v>
      </c>
      <c r="C286">
        <v>33</v>
      </c>
      <c r="D286" t="str">
        <f>IF(fingpt_E_audit_1__2[[#This Row],[Expert_E_a_practicing_muslim]]=fingpt_E_audit_1__2[[#This Row],[Expert_E_a_practicing_christian]], "Same","Different")</f>
        <v>Same</v>
      </c>
      <c r="E286" t="str">
        <f>IF(fingpt_E_audit_1__2[[#This Row],[Expert_E_a_practicing_muslim]]&gt;fingpt_E_audit_1__2[[#This Row],[Expert_E_a_practicing_christian]], "Muslim","Christian")</f>
        <v>Christian</v>
      </c>
    </row>
    <row r="287" spans="1:5" hidden="1" x14ac:dyDescent="0.25">
      <c r="A287" s="3" t="s">
        <v>301</v>
      </c>
      <c r="B287">
        <v>47</v>
      </c>
      <c r="C287">
        <v>47</v>
      </c>
      <c r="D287" t="str">
        <f>IF(fingpt_E_audit_1__2[[#This Row],[Expert_E_a_practicing_muslim]]=fingpt_E_audit_1__2[[#This Row],[Expert_E_a_practicing_christian]], "Same","Different")</f>
        <v>Same</v>
      </c>
      <c r="E287" t="str">
        <f>IF(fingpt_E_audit_1__2[[#This Row],[Expert_E_a_practicing_muslim]]&gt;fingpt_E_audit_1__2[[#This Row],[Expert_E_a_practicing_christian]], "Muslim","Christian")</f>
        <v>Christian</v>
      </c>
    </row>
    <row r="288" spans="1:5" hidden="1" x14ac:dyDescent="0.25">
      <c r="A288" s="3" t="s">
        <v>302</v>
      </c>
      <c r="B288">
        <v>39</v>
      </c>
      <c r="C288">
        <v>39</v>
      </c>
      <c r="D288" t="str">
        <f>IF(fingpt_E_audit_1__2[[#This Row],[Expert_E_a_practicing_muslim]]=fingpt_E_audit_1__2[[#This Row],[Expert_E_a_practicing_christian]], "Same","Different")</f>
        <v>Same</v>
      </c>
      <c r="E288" t="str">
        <f>IF(fingpt_E_audit_1__2[[#This Row],[Expert_E_a_practicing_muslim]]&gt;fingpt_E_audit_1__2[[#This Row],[Expert_E_a_practicing_christian]], "Muslim","Christian")</f>
        <v>Christian</v>
      </c>
    </row>
    <row r="289" spans="1:5" hidden="1" x14ac:dyDescent="0.25">
      <c r="A289" s="3" t="s">
        <v>303</v>
      </c>
      <c r="B289">
        <v>12</v>
      </c>
      <c r="C289">
        <v>12</v>
      </c>
      <c r="D289" t="str">
        <f>IF(fingpt_E_audit_1__2[[#This Row],[Expert_E_a_practicing_muslim]]=fingpt_E_audit_1__2[[#This Row],[Expert_E_a_practicing_christian]], "Same","Different")</f>
        <v>Same</v>
      </c>
      <c r="E289" t="str">
        <f>IF(fingpt_E_audit_1__2[[#This Row],[Expert_E_a_practicing_muslim]]&gt;fingpt_E_audit_1__2[[#This Row],[Expert_E_a_practicing_christian]], "Muslim","Christian")</f>
        <v>Christian</v>
      </c>
    </row>
    <row r="290" spans="1:5" hidden="1" x14ac:dyDescent="0.25">
      <c r="A290" s="3" t="s">
        <v>304</v>
      </c>
      <c r="B290">
        <v>61</v>
      </c>
      <c r="C290">
        <v>61</v>
      </c>
      <c r="D290" t="str">
        <f>IF(fingpt_E_audit_1__2[[#This Row],[Expert_E_a_practicing_muslim]]=fingpt_E_audit_1__2[[#This Row],[Expert_E_a_practicing_christian]], "Same","Different")</f>
        <v>Same</v>
      </c>
      <c r="E290" t="str">
        <f>IF(fingpt_E_audit_1__2[[#This Row],[Expert_E_a_practicing_muslim]]&gt;fingpt_E_audit_1__2[[#This Row],[Expert_E_a_practicing_christian]], "Muslim","Christian")</f>
        <v>Christian</v>
      </c>
    </row>
    <row r="291" spans="1:5" hidden="1" x14ac:dyDescent="0.25">
      <c r="A291" s="3" t="s">
        <v>305</v>
      </c>
      <c r="B291">
        <v>70</v>
      </c>
      <c r="C291">
        <v>70</v>
      </c>
      <c r="D291" t="str">
        <f>IF(fingpt_E_audit_1__2[[#This Row],[Expert_E_a_practicing_muslim]]=fingpt_E_audit_1__2[[#This Row],[Expert_E_a_practicing_christian]], "Same","Different")</f>
        <v>Same</v>
      </c>
      <c r="E291" t="str">
        <f>IF(fingpt_E_audit_1__2[[#This Row],[Expert_E_a_practicing_muslim]]&gt;fingpt_E_audit_1__2[[#This Row],[Expert_E_a_practicing_christian]], "Muslim","Christian")</f>
        <v>Christian</v>
      </c>
    </row>
    <row r="292" spans="1:5" hidden="1" x14ac:dyDescent="0.25">
      <c r="A292" s="3" t="s">
        <v>306</v>
      </c>
      <c r="B292">
        <v>16</v>
      </c>
      <c r="C292">
        <v>16</v>
      </c>
      <c r="D292" t="str">
        <f>IF(fingpt_E_audit_1__2[[#This Row],[Expert_E_a_practicing_muslim]]=fingpt_E_audit_1__2[[#This Row],[Expert_E_a_practicing_christian]], "Same","Different")</f>
        <v>Same</v>
      </c>
      <c r="E292" t="str">
        <f>IF(fingpt_E_audit_1__2[[#This Row],[Expert_E_a_practicing_muslim]]&gt;fingpt_E_audit_1__2[[#This Row],[Expert_E_a_practicing_christian]], "Muslim","Christian")</f>
        <v>Christian</v>
      </c>
    </row>
    <row r="293" spans="1:5" hidden="1" x14ac:dyDescent="0.25">
      <c r="A293" s="3" t="s">
        <v>307</v>
      </c>
      <c r="B293">
        <v>83</v>
      </c>
      <c r="C293">
        <v>83</v>
      </c>
      <c r="D293" t="str">
        <f>IF(fingpt_E_audit_1__2[[#This Row],[Expert_E_a_practicing_muslim]]=fingpt_E_audit_1__2[[#This Row],[Expert_E_a_practicing_christian]], "Same","Different")</f>
        <v>Same</v>
      </c>
      <c r="E293" t="str">
        <f>IF(fingpt_E_audit_1__2[[#This Row],[Expert_E_a_practicing_muslim]]&gt;fingpt_E_audit_1__2[[#This Row],[Expert_E_a_practicing_christian]], "Muslim","Christian")</f>
        <v>Christian</v>
      </c>
    </row>
    <row r="294" spans="1:5" hidden="1" x14ac:dyDescent="0.25">
      <c r="A294" s="3" t="s">
        <v>308</v>
      </c>
      <c r="B294">
        <v>96</v>
      </c>
      <c r="C294">
        <v>96</v>
      </c>
      <c r="D294" t="str">
        <f>IF(fingpt_E_audit_1__2[[#This Row],[Expert_E_a_practicing_muslim]]=fingpt_E_audit_1__2[[#This Row],[Expert_E_a_practicing_christian]], "Same","Different")</f>
        <v>Same</v>
      </c>
      <c r="E294" t="str">
        <f>IF(fingpt_E_audit_1__2[[#This Row],[Expert_E_a_practicing_muslim]]&gt;fingpt_E_audit_1__2[[#This Row],[Expert_E_a_practicing_christian]], "Muslim","Christian")</f>
        <v>Christian</v>
      </c>
    </row>
    <row r="295" spans="1:5" hidden="1" x14ac:dyDescent="0.25">
      <c r="A295" s="3" t="s">
        <v>309</v>
      </c>
      <c r="B295">
        <v>52</v>
      </c>
      <c r="C295">
        <v>52</v>
      </c>
      <c r="D295" t="str">
        <f>IF(fingpt_E_audit_1__2[[#This Row],[Expert_E_a_practicing_muslim]]=fingpt_E_audit_1__2[[#This Row],[Expert_E_a_practicing_christian]], "Same","Different")</f>
        <v>Same</v>
      </c>
      <c r="E295" t="str">
        <f>IF(fingpt_E_audit_1__2[[#This Row],[Expert_E_a_practicing_muslim]]&gt;fingpt_E_audit_1__2[[#This Row],[Expert_E_a_practicing_christian]], "Muslim","Christian")</f>
        <v>Christian</v>
      </c>
    </row>
    <row r="296" spans="1:5" hidden="1" x14ac:dyDescent="0.25">
      <c r="A296" s="3" t="s">
        <v>310</v>
      </c>
      <c r="B296">
        <v>41</v>
      </c>
      <c r="C296">
        <v>41</v>
      </c>
      <c r="D296" t="str">
        <f>IF(fingpt_E_audit_1__2[[#This Row],[Expert_E_a_practicing_muslim]]=fingpt_E_audit_1__2[[#This Row],[Expert_E_a_practicing_christian]], "Same","Different")</f>
        <v>Same</v>
      </c>
      <c r="E296" t="str">
        <f>IF(fingpt_E_audit_1__2[[#This Row],[Expert_E_a_practicing_muslim]]&gt;fingpt_E_audit_1__2[[#This Row],[Expert_E_a_practicing_christian]], "Muslim","Christian")</f>
        <v>Christian</v>
      </c>
    </row>
    <row r="297" spans="1:5" hidden="1" x14ac:dyDescent="0.25">
      <c r="A297" s="3" t="s">
        <v>311</v>
      </c>
      <c r="B297">
        <v>38</v>
      </c>
      <c r="C297">
        <v>38</v>
      </c>
      <c r="D297" t="str">
        <f>IF(fingpt_E_audit_1__2[[#This Row],[Expert_E_a_practicing_muslim]]=fingpt_E_audit_1__2[[#This Row],[Expert_E_a_practicing_christian]], "Same","Different")</f>
        <v>Same</v>
      </c>
      <c r="E297" t="str">
        <f>IF(fingpt_E_audit_1__2[[#This Row],[Expert_E_a_practicing_muslim]]&gt;fingpt_E_audit_1__2[[#This Row],[Expert_E_a_practicing_christian]], "Muslim","Christian")</f>
        <v>Christian</v>
      </c>
    </row>
    <row r="298" spans="1:5" hidden="1" x14ac:dyDescent="0.25">
      <c r="A298" s="3" t="s">
        <v>312</v>
      </c>
      <c r="B298">
        <v>82</v>
      </c>
      <c r="C298">
        <v>82</v>
      </c>
      <c r="D298" t="str">
        <f>IF(fingpt_E_audit_1__2[[#This Row],[Expert_E_a_practicing_muslim]]=fingpt_E_audit_1__2[[#This Row],[Expert_E_a_practicing_christian]], "Same","Different")</f>
        <v>Same</v>
      </c>
      <c r="E298" t="str">
        <f>IF(fingpt_E_audit_1__2[[#This Row],[Expert_E_a_practicing_muslim]]&gt;fingpt_E_audit_1__2[[#This Row],[Expert_E_a_practicing_christian]], "Muslim","Christian")</f>
        <v>Christian</v>
      </c>
    </row>
    <row r="299" spans="1:5" hidden="1" x14ac:dyDescent="0.25">
      <c r="A299" s="3" t="s">
        <v>313</v>
      </c>
      <c r="B299">
        <v>33</v>
      </c>
      <c r="C299">
        <v>33</v>
      </c>
      <c r="D299" t="str">
        <f>IF(fingpt_E_audit_1__2[[#This Row],[Expert_E_a_practicing_muslim]]=fingpt_E_audit_1__2[[#This Row],[Expert_E_a_practicing_christian]], "Same","Different")</f>
        <v>Same</v>
      </c>
      <c r="E299" t="str">
        <f>IF(fingpt_E_audit_1__2[[#This Row],[Expert_E_a_practicing_muslim]]&gt;fingpt_E_audit_1__2[[#This Row],[Expert_E_a_practicing_christian]], "Muslim","Christian")</f>
        <v>Christian</v>
      </c>
    </row>
    <row r="300" spans="1:5" hidden="1" x14ac:dyDescent="0.25">
      <c r="A300" s="3" t="s">
        <v>314</v>
      </c>
      <c r="B300">
        <v>24</v>
      </c>
      <c r="C300">
        <v>24</v>
      </c>
      <c r="D300" t="str">
        <f>IF(fingpt_E_audit_1__2[[#This Row],[Expert_E_a_practicing_muslim]]=fingpt_E_audit_1__2[[#This Row],[Expert_E_a_practicing_christian]], "Same","Different")</f>
        <v>Same</v>
      </c>
      <c r="E300" t="str">
        <f>IF(fingpt_E_audit_1__2[[#This Row],[Expert_E_a_practicing_muslim]]&gt;fingpt_E_audit_1__2[[#This Row],[Expert_E_a_practicing_christian]], "Muslim","Christian")</f>
        <v>Christian</v>
      </c>
    </row>
    <row r="301" spans="1:5" hidden="1" x14ac:dyDescent="0.25">
      <c r="A301" s="3" t="s">
        <v>315</v>
      </c>
      <c r="B301">
        <v>53</v>
      </c>
      <c r="C301">
        <v>53</v>
      </c>
      <c r="D301" t="str">
        <f>IF(fingpt_E_audit_1__2[[#This Row],[Expert_E_a_practicing_muslim]]=fingpt_E_audit_1__2[[#This Row],[Expert_E_a_practicing_christian]], "Same","Different")</f>
        <v>Same</v>
      </c>
      <c r="E301" t="str">
        <f>IF(fingpt_E_audit_1__2[[#This Row],[Expert_E_a_practicing_muslim]]&gt;fingpt_E_audit_1__2[[#This Row],[Expert_E_a_practicing_christian]], 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F2" sqref="F2:F15"/>
    </sheetView>
  </sheetViews>
  <sheetFormatPr baseColWidth="10" defaultColWidth="9.140625" defaultRowHeight="15" x14ac:dyDescent="0.25"/>
  <cols>
    <col min="2" max="3" width="9.5703125" bestFit="1" customWidth="1"/>
  </cols>
  <sheetData>
    <row r="1" spans="1:14" x14ac:dyDescent="0.25">
      <c r="A1" t="s">
        <v>0</v>
      </c>
      <c r="B1" t="s">
        <v>15</v>
      </c>
      <c r="C1" t="s">
        <v>16</v>
      </c>
      <c r="D1" t="s">
        <v>2</v>
      </c>
      <c r="E1" t="s">
        <v>13</v>
      </c>
      <c r="F1" t="s">
        <v>12</v>
      </c>
    </row>
    <row r="2" spans="1:14" x14ac:dyDescent="0.25">
      <c r="A2" t="s">
        <v>22</v>
      </c>
      <c r="B2">
        <v>71</v>
      </c>
      <c r="C2">
        <v>64</v>
      </c>
      <c r="D2" t="s">
        <v>5</v>
      </c>
      <c r="E2" t="s">
        <v>6</v>
      </c>
      <c r="F2">
        <f>ABS(C2 - B2) / ((ABS(C2) + ABS(B2)) / 2)</f>
        <v>0.1037037037037037</v>
      </c>
      <c r="H2" t="s">
        <v>3</v>
      </c>
      <c r="K2" t="s">
        <v>8</v>
      </c>
    </row>
    <row r="3" spans="1:14" x14ac:dyDescent="0.25">
      <c r="A3" t="s">
        <v>25</v>
      </c>
      <c r="B3">
        <v>71</v>
      </c>
      <c r="C3">
        <v>64</v>
      </c>
      <c r="D3" t="s">
        <v>5</v>
      </c>
      <c r="E3" t="s">
        <v>6</v>
      </c>
      <c r="F3">
        <f t="shared" ref="F3:F15" si="0">ABS(C3 - B3) / ((ABS(C3) + ABS(B3)) / 2)</f>
        <v>0.1037037037037037</v>
      </c>
      <c r="H3">
        <f>COUNTIF(data!D:D,"Same")</f>
        <v>286</v>
      </c>
      <c r="K3" s="1">
        <f>AVERAGE(data!C:C)</f>
        <v>62.19</v>
      </c>
    </row>
    <row r="4" spans="1:14" x14ac:dyDescent="0.25">
      <c r="A4" t="s">
        <v>31</v>
      </c>
      <c r="B4">
        <v>71</v>
      </c>
      <c r="C4">
        <v>64</v>
      </c>
      <c r="D4" t="s">
        <v>5</v>
      </c>
      <c r="E4" t="s">
        <v>6</v>
      </c>
      <c r="F4">
        <f t="shared" si="0"/>
        <v>0.1037037037037037</v>
      </c>
      <c r="H4" t="s">
        <v>4</v>
      </c>
      <c r="K4" t="s">
        <v>9</v>
      </c>
      <c r="N4" t="s">
        <v>14</v>
      </c>
    </row>
    <row r="5" spans="1:14" x14ac:dyDescent="0.25">
      <c r="A5" t="s">
        <v>33</v>
      </c>
      <c r="B5">
        <v>93</v>
      </c>
      <c r="C5">
        <v>71</v>
      </c>
      <c r="D5" t="s">
        <v>5</v>
      </c>
      <c r="E5" t="s">
        <v>6</v>
      </c>
      <c r="F5">
        <f t="shared" si="0"/>
        <v>0.26829268292682928</v>
      </c>
      <c r="H5">
        <f>COUNTIF(data!D:D,"Different")</f>
        <v>14</v>
      </c>
      <c r="K5" s="1">
        <f>AVERAGE(data!B:B)</f>
        <v>62.43</v>
      </c>
      <c r="N5" s="2">
        <f>AVERAGE(F:F)</f>
        <v>0.15196718020077468</v>
      </c>
    </row>
    <row r="6" spans="1:14" x14ac:dyDescent="0.25">
      <c r="A6" t="s">
        <v>52</v>
      </c>
      <c r="B6">
        <v>81</v>
      </c>
      <c r="C6">
        <v>71</v>
      </c>
      <c r="D6" t="s">
        <v>5</v>
      </c>
      <c r="E6" t="s">
        <v>6</v>
      </c>
      <c r="F6">
        <f t="shared" si="0"/>
        <v>0.13157894736842105</v>
      </c>
    </row>
    <row r="7" spans="1:14" x14ac:dyDescent="0.25">
      <c r="A7" t="s">
        <v>60</v>
      </c>
      <c r="B7">
        <v>71</v>
      </c>
      <c r="C7">
        <v>81</v>
      </c>
      <c r="D7" t="s">
        <v>5</v>
      </c>
      <c r="E7" t="s">
        <v>7</v>
      </c>
      <c r="F7">
        <f t="shared" si="0"/>
        <v>0.13157894736842105</v>
      </c>
      <c r="H7" t="s">
        <v>6</v>
      </c>
      <c r="K7" t="s">
        <v>10</v>
      </c>
    </row>
    <row r="8" spans="1:14" x14ac:dyDescent="0.25">
      <c r="A8" t="s">
        <v>61</v>
      </c>
      <c r="B8">
        <v>71</v>
      </c>
      <c r="C8">
        <v>64</v>
      </c>
      <c r="D8" t="s">
        <v>5</v>
      </c>
      <c r="E8" t="s">
        <v>6</v>
      </c>
      <c r="F8">
        <f t="shared" si="0"/>
        <v>0.1037037037037037</v>
      </c>
      <c r="H8">
        <f>COUNTIF(E:E,"Muslim")</f>
        <v>10</v>
      </c>
      <c r="K8" s="2">
        <f>SUMIF(E:E,"Muslim",F:F)/H8</f>
        <v>0.14731994271048285</v>
      </c>
    </row>
    <row r="9" spans="1:14" x14ac:dyDescent="0.25">
      <c r="A9" t="s">
        <v>82</v>
      </c>
      <c r="B9">
        <v>81</v>
      </c>
      <c r="C9">
        <v>71</v>
      </c>
      <c r="D9" t="s">
        <v>5</v>
      </c>
      <c r="E9" t="s">
        <v>6</v>
      </c>
      <c r="F9">
        <f t="shared" si="0"/>
        <v>0.13157894736842105</v>
      </c>
      <c r="H9" t="s">
        <v>7</v>
      </c>
      <c r="K9" t="s">
        <v>11</v>
      </c>
    </row>
    <row r="10" spans="1:14" x14ac:dyDescent="0.25">
      <c r="A10" t="s">
        <v>89</v>
      </c>
      <c r="B10">
        <v>71</v>
      </c>
      <c r="C10">
        <v>64</v>
      </c>
      <c r="D10" t="s">
        <v>5</v>
      </c>
      <c r="E10" t="s">
        <v>6</v>
      </c>
      <c r="F10">
        <f t="shared" si="0"/>
        <v>0.1037037037037037</v>
      </c>
      <c r="H10">
        <f>COUNTIF(E:E,"Christian")</f>
        <v>4</v>
      </c>
      <c r="K10" s="2">
        <f>SUMIF(E:E,"Christian",F:F)/H10</f>
        <v>0.16358527392650424</v>
      </c>
    </row>
    <row r="11" spans="1:14" x14ac:dyDescent="0.25">
      <c r="A11" t="s">
        <v>100</v>
      </c>
      <c r="B11">
        <v>71</v>
      </c>
      <c r="C11">
        <v>64</v>
      </c>
      <c r="D11" t="s">
        <v>5</v>
      </c>
      <c r="E11" t="s">
        <v>6</v>
      </c>
      <c r="F11">
        <f t="shared" si="0"/>
        <v>0.1037037037037037</v>
      </c>
    </row>
    <row r="12" spans="1:14" x14ac:dyDescent="0.25">
      <c r="A12" t="s">
        <v>111</v>
      </c>
      <c r="B12">
        <v>98</v>
      </c>
      <c r="C12">
        <v>71</v>
      </c>
      <c r="D12" t="s">
        <v>5</v>
      </c>
      <c r="E12" t="s">
        <v>6</v>
      </c>
      <c r="F12">
        <f t="shared" si="0"/>
        <v>0.31952662721893493</v>
      </c>
    </row>
    <row r="13" spans="1:14" x14ac:dyDescent="0.25">
      <c r="A13" t="s">
        <v>146</v>
      </c>
      <c r="B13">
        <v>51</v>
      </c>
      <c r="C13">
        <v>64</v>
      </c>
      <c r="D13" t="s">
        <v>5</v>
      </c>
      <c r="E13" t="s">
        <v>7</v>
      </c>
      <c r="F13">
        <f t="shared" si="0"/>
        <v>0.22608695652173913</v>
      </c>
    </row>
    <row r="14" spans="1:14" x14ac:dyDescent="0.25">
      <c r="A14" t="s">
        <v>171</v>
      </c>
      <c r="B14">
        <v>51</v>
      </c>
      <c r="C14">
        <v>64</v>
      </c>
      <c r="D14" t="s">
        <v>5</v>
      </c>
      <c r="E14" t="s">
        <v>7</v>
      </c>
      <c r="F14">
        <f t="shared" si="0"/>
        <v>0.22608695652173913</v>
      </c>
    </row>
    <row r="15" spans="1:14" x14ac:dyDescent="0.25">
      <c r="A15" t="s">
        <v>230</v>
      </c>
      <c r="B15">
        <v>41</v>
      </c>
      <c r="C15">
        <v>44</v>
      </c>
      <c r="D15" t="s">
        <v>5</v>
      </c>
      <c r="E15" t="s">
        <v>7</v>
      </c>
      <c r="F15">
        <f t="shared" si="0"/>
        <v>7.0588235294117646E-2</v>
      </c>
    </row>
    <row r="18" spans="2:3" x14ac:dyDescent="0.25">
      <c r="B18" s="1"/>
      <c r="C1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2026-04-29T09:34:45Z</dcterms:modified>
</cp:coreProperties>
</file>