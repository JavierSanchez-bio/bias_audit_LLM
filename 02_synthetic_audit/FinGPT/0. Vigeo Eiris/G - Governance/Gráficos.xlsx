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Vigeo Eiris\G - Governance\"/>
    </mc:Choice>
  </mc:AlternateContent>
  <xr:revisionPtr revIDLastSave="0" documentId="13_ncr:1_{E72EF97A-05FD-42E1-91AC-330B8F4F7BA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" l="1"/>
  <c r="C11" i="3"/>
  <c r="C10" i="3"/>
  <c r="C5" i="3"/>
  <c r="C4" i="3"/>
  <c r="C3" i="3"/>
  <c r="W3" i="2" l="1"/>
  <c r="W14" i="2"/>
  <c r="W13" i="2"/>
  <c r="W12" i="2"/>
  <c r="W11" i="2"/>
  <c r="W10" i="2"/>
  <c r="W9" i="2"/>
  <c r="W8" i="2"/>
  <c r="W7" i="2"/>
  <c r="W6" i="2"/>
  <c r="W5" i="2"/>
  <c r="W4" i="2"/>
  <c r="T13" i="2"/>
  <c r="O31" i="1" s="1"/>
  <c r="T11" i="2"/>
  <c r="O30" i="1" s="1"/>
  <c r="T9" i="2"/>
  <c r="T7" i="2"/>
  <c r="O28" i="1" s="1"/>
  <c r="T5" i="2"/>
  <c r="T3" i="2"/>
  <c r="O26" i="1" s="1"/>
  <c r="O11" i="1"/>
  <c r="O10" i="1"/>
  <c r="O9" i="1"/>
  <c r="O8" i="1"/>
  <c r="O7" i="1"/>
  <c r="O6" i="1"/>
  <c r="O29" i="1"/>
  <c r="O27" i="1"/>
  <c r="D14" i="2"/>
  <c r="D13" i="2"/>
  <c r="D12" i="2"/>
  <c r="D11" i="2"/>
  <c r="D10" i="2"/>
  <c r="D9" i="2"/>
  <c r="D8" i="2"/>
  <c r="D7" i="2"/>
  <c r="D6" i="2"/>
  <c r="D5" i="2"/>
  <c r="D4" i="2"/>
  <c r="D3" i="2"/>
  <c r="F4" i="2" l="1"/>
  <c r="D30" i="2" s="1"/>
  <c r="F14" i="2"/>
  <c r="D40" i="2" s="1"/>
  <c r="F12" i="2"/>
  <c r="D37" i="2" s="1"/>
  <c r="F10" i="2"/>
  <c r="D36" i="2" s="1"/>
  <c r="F6" i="2"/>
  <c r="D31" i="2" s="1"/>
  <c r="F8" i="2"/>
  <c r="D34" i="2" s="1"/>
  <c r="A5" i="2"/>
  <c r="A13" i="2"/>
  <c r="A11" i="2"/>
  <c r="A9" i="2"/>
  <c r="D33" i="2" l="1"/>
  <c r="D38" i="2"/>
  <c r="D35" i="2"/>
  <c r="D32" i="2"/>
  <c r="D39" i="2"/>
  <c r="D29" i="2"/>
  <c r="A3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<sst xmlns="http://schemas.openxmlformats.org/spreadsheetml/2006/main" count="74" uniqueCount="23">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</sst>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67</c:v>
                </c:pt>
                <c:pt idx="1">
                  <c:v>58</c:v>
                </c:pt>
                <c:pt idx="2">
                  <c:v>56</c:v>
                </c:pt>
                <c:pt idx="3">
                  <c:v>57</c:v>
                </c:pt>
                <c:pt idx="4">
                  <c:v>75</c:v>
                </c:pt>
                <c:pt idx="5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</a:t>
            </a:r>
            <a:r>
              <a:rPr lang="es-ES" b="1" baseline="0"/>
              <a:t>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Araña'!$N$26:$N$31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Araña'!$O$26:$O$31</c:f>
              <c:numCache>
                <c:formatCode>0%</c:formatCode>
                <c:ptCount val="6"/>
                <c:pt idx="0">
                  <c:v>0.14098197210210078</c:v>
                </c:pt>
                <c:pt idx="1">
                  <c:v>0.12952829653965928</c:v>
                </c:pt>
                <c:pt idx="2">
                  <c:v>0.14990431892297434</c:v>
                </c:pt>
                <c:pt idx="3">
                  <c:v>0.12447261062708502</c:v>
                </c:pt>
                <c:pt idx="4">
                  <c:v>0.12674314997080449</c:v>
                </c:pt>
                <c:pt idx="5">
                  <c:v>0.10175814652879288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2-430A-801B-899FA6776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36</c:v>
                </c:pt>
                <c:pt idx="1">
                  <c:v>31</c:v>
                </c:pt>
                <c:pt idx="2">
                  <c:v>55</c:v>
                </c:pt>
                <c:pt idx="3">
                  <c:v>15</c:v>
                </c:pt>
                <c:pt idx="4">
                  <c:v>3</c:v>
                </c:pt>
                <c:pt idx="5">
                  <c:v>6</c:v>
                </c:pt>
                <c:pt idx="6">
                  <c:v>47</c:v>
                </c:pt>
                <c:pt idx="7">
                  <c:v>10</c:v>
                </c:pt>
                <c:pt idx="8">
                  <c:v>8</c:v>
                </c:pt>
                <c:pt idx="9">
                  <c:v>6</c:v>
                </c:pt>
                <c:pt idx="10">
                  <c:v>35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0.53731343283582089</c:v>
                </c:pt>
                <c:pt idx="1">
                  <c:v>0.46268656716417911</c:v>
                </c:pt>
                <c:pt idx="2">
                  <c:v>0.7857142857142857</c:v>
                </c:pt>
                <c:pt idx="3">
                  <c:v>0.21428571428571427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0.82456140350877194</c:v>
                </c:pt>
                <c:pt idx="7">
                  <c:v>0.17543859649122806</c:v>
                </c:pt>
                <c:pt idx="8">
                  <c:v>0.5714285714285714</c:v>
                </c:pt>
                <c:pt idx="9">
                  <c:v>0.42857142857142855</c:v>
                </c:pt>
                <c:pt idx="10">
                  <c:v>0.76086956521739135</c:v>
                </c:pt>
                <c:pt idx="11">
                  <c:v>0.2391304347826087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36B-46D9-ACFC-82F92721773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36B-46D9-ACFC-82F92721773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36B-46D9-ACFC-82F92721773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36B-46D9-ACFC-82F92721773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36B-46D9-ACFC-82F92721773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36B-46D9-ACFC-82F9272177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8.6952027745127447E-2</c:v>
                </c:pt>
                <c:pt idx="1">
                  <c:v>0.20372642361342461</c:v>
                </c:pt>
                <c:pt idx="2">
                  <c:v>0.10080844437090647</c:v>
                </c:pt>
                <c:pt idx="3">
                  <c:v>0.1362499640685163</c:v>
                </c:pt>
                <c:pt idx="4">
                  <c:v>0.16626218482591165</c:v>
                </c:pt>
                <c:pt idx="5">
                  <c:v>0.14634826111798796</c:v>
                </c:pt>
                <c:pt idx="6">
                  <c:v>8.7080443102360072E-2</c:v>
                </c:pt>
                <c:pt idx="7">
                  <c:v>0.15166691428143042</c:v>
                </c:pt>
                <c:pt idx="8">
                  <c:v>0.14288964044966557</c:v>
                </c:pt>
                <c:pt idx="9">
                  <c:v>9.2431857703224693E-2</c:v>
                </c:pt>
                <c:pt idx="10">
                  <c:v>6.7883867229113937E-2</c:v>
                </c:pt>
                <c:pt idx="11">
                  <c:v>0.13669099705658677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36B-46D9-ACFC-82F9272177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34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8F-47A9-A089-C457DC1CFA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Full'!$B$11:$B$12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Full'!$C$11:$C$12</c:f>
              <c:numCache>
                <c:formatCode>0.0%</c:formatCode>
                <c:ptCount val="2"/>
                <c:pt idx="0">
                  <c:v>7.7511027853895742E-2</c:v>
                </c:pt>
                <c:pt idx="1">
                  <c:v>8.7737536800003596E-2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8F-47A9-A089-C457DC1CFA9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36078415"/>
        <c:axId val="236072175"/>
      </c:barChart>
      <c:catAx>
        <c:axId val="236078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6072175"/>
        <c:crosses val="autoZero"/>
        <c:auto val="1"/>
        <c:lblAlgn val="ctr"/>
        <c:lblOffset val="100"/>
        <c:noMultiLvlLbl val="0"/>
      </c:catAx>
      <c:valAx>
        <c:axId val="23607217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36078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49695</xdr:colOff>
      <xdr:row>22</xdr:row>
      <xdr:rowOff>33131</xdr:rowOff>
    </xdr:from>
    <xdr:to>
      <xdr:col>12</xdr:col>
      <xdr:colOff>373544</xdr:colOff>
      <xdr:row>40</xdr:row>
      <xdr:rowOff>118649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CE37433-9DB4-4C92-A3FB-F30757ADC9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95250</xdr:colOff>
      <xdr:row>15</xdr:row>
      <xdr:rowOff>38100</xdr:rowOff>
    </xdr:from>
    <xdr:to>
      <xdr:col>28</xdr:col>
      <xdr:colOff>433388</xdr:colOff>
      <xdr:row>38</xdr:row>
      <xdr:rowOff>157163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986AD5A7-A155-4BD3-9D36-714D03ECE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13</xdr:col>
      <xdr:colOff>123824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600075</xdr:colOff>
      <xdr:row>2</xdr:row>
      <xdr:rowOff>14287</xdr:rowOff>
    </xdr:from>
    <xdr:to>
      <xdr:col>20</xdr:col>
      <xdr:colOff>600075</xdr:colOff>
      <xdr:row>19</xdr:row>
      <xdr:rowOff>104775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347C03A-8F3B-3290-090B-A5C083D1F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\FinGPT_Runpod\0.%20Vigeo%20Eiris\G%20-%20Governance\G_religion.xlsx" TargetMode="External"/><Relationship Id="rId1" Type="http://schemas.openxmlformats.org/officeDocument/2006/relationships/externalLinkPath" Target="G_relig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_religion_gende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No%20context\G%20-Governance\G_gender.xlsx" TargetMode="External"/><Relationship Id="rId1" Type="http://schemas.openxmlformats.org/officeDocument/2006/relationships/externalLinkPath" Target="G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sanchez\Downloads\TFM%20Graficar\Graficar\0.%20Vigeo%20Eiris%20(Moody_s)\G%20-Governance\G_age_gender.xlsx" TargetMode="External"/><Relationship Id="rId1" Type="http://schemas.openxmlformats.org/officeDocument/2006/relationships/externalLinkPath" Target="G_age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G_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G_age_religion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67</v>
          </cell>
          <cell r="N5">
            <v>0.14098197210210078</v>
          </cell>
        </row>
        <row r="8">
          <cell r="H8">
            <v>36</v>
          </cell>
          <cell r="K8">
            <v>8.6952027745127447E-2</v>
          </cell>
        </row>
        <row r="10">
          <cell r="H10">
            <v>31</v>
          </cell>
          <cell r="K10">
            <v>0.20372642361342461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58</v>
          </cell>
          <cell r="N5">
            <v>0.12952829653965928</v>
          </cell>
        </row>
        <row r="8">
          <cell r="H8">
            <v>55</v>
          </cell>
          <cell r="K8">
            <v>0.10080844437090647</v>
          </cell>
        </row>
        <row r="10">
          <cell r="H10">
            <v>15</v>
          </cell>
          <cell r="K10">
            <v>0.1362499640685163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56</v>
          </cell>
          <cell r="N5">
            <v>0.14990431892297434</v>
          </cell>
        </row>
        <row r="8">
          <cell r="H8">
            <v>3</v>
          </cell>
          <cell r="K8">
            <v>0.16626218482591165</v>
          </cell>
        </row>
        <row r="10">
          <cell r="H10">
            <v>6</v>
          </cell>
          <cell r="K10">
            <v>0.14634826111798796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57</v>
          </cell>
          <cell r="N5">
            <v>0.12447261062708502</v>
          </cell>
        </row>
        <row r="8">
          <cell r="H8">
            <v>47</v>
          </cell>
          <cell r="K8">
            <v>8.7080443102360072E-2</v>
          </cell>
        </row>
        <row r="10">
          <cell r="H10">
            <v>10</v>
          </cell>
          <cell r="K10">
            <v>0.15166691428143042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75</v>
          </cell>
          <cell r="N5">
            <v>0.12674314997080449</v>
          </cell>
        </row>
        <row r="8">
          <cell r="H8">
            <v>8</v>
          </cell>
          <cell r="K8">
            <v>0.14288964044966557</v>
          </cell>
        </row>
        <row r="10">
          <cell r="H10">
            <v>6</v>
          </cell>
          <cell r="K10">
            <v>9.2431857703224693E-2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65</v>
          </cell>
          <cell r="N5">
            <v>0.10175814652879288</v>
          </cell>
        </row>
        <row r="8">
          <cell r="H8">
            <v>35</v>
          </cell>
          <cell r="K8">
            <v>6.7883867229113937E-2</v>
          </cell>
        </row>
        <row r="10">
          <cell r="H10">
            <v>11</v>
          </cell>
          <cell r="K10">
            <v>0.13669099705658677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</sheetNames>
    <sheetDataSet>
      <sheetData sheetId="0"/>
      <sheetData sheetId="1">
        <row r="5">
          <cell r="H5">
            <v>69</v>
          </cell>
          <cell r="N5">
            <v>8.2698387464240269E-2</v>
          </cell>
        </row>
        <row r="8">
          <cell r="H8">
            <v>34</v>
          </cell>
          <cell r="K8">
            <v>7.7511027853895742E-2</v>
          </cell>
        </row>
        <row r="10">
          <cell r="H10">
            <v>35</v>
          </cell>
          <cell r="K10">
            <v>8.7737536800003596E-2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zoomScale="115" zoomScaleNormal="115" workbookViewId="0">
      <selection activeCell="O12" sqref="O12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[1]Sheet1!$H$5</f>
        <v>67</v>
      </c>
    </row>
    <row r="7" spans="14:15" x14ac:dyDescent="0.25">
      <c r="N7" t="s">
        <v>19</v>
      </c>
      <c r="O7">
        <f>[2]Sheet1!$H$5</f>
        <v>58</v>
      </c>
    </row>
    <row r="8" spans="14:15" x14ac:dyDescent="0.25">
      <c r="N8" t="s">
        <v>20</v>
      </c>
      <c r="O8">
        <f>[3]Sheet1!$H$5</f>
        <v>56</v>
      </c>
    </row>
    <row r="9" spans="14:15" x14ac:dyDescent="0.25">
      <c r="N9" t="s">
        <v>18</v>
      </c>
      <c r="O9">
        <f>[4]Sheet1!$H$5</f>
        <v>57</v>
      </c>
    </row>
    <row r="10" spans="14:15" x14ac:dyDescent="0.25">
      <c r="N10" t="s">
        <v>1</v>
      </c>
      <c r="O10">
        <f>[5]Sheet1!$H$5</f>
        <v>75</v>
      </c>
    </row>
    <row r="11" spans="14:15" x14ac:dyDescent="0.25">
      <c r="N11" t="s">
        <v>2</v>
      </c>
      <c r="O11">
        <f>[6]Sheet1!$H$5</f>
        <v>65</v>
      </c>
    </row>
    <row r="26" spans="14:15" x14ac:dyDescent="0.25">
      <c r="N26" t="s">
        <v>0</v>
      </c>
      <c r="O26" s="1">
        <f>'Vigeo Individual'!T3</f>
        <v>0.14098197210210078</v>
      </c>
    </row>
    <row r="27" spans="14:15" x14ac:dyDescent="0.25">
      <c r="N27" t="s">
        <v>19</v>
      </c>
      <c r="O27" s="1">
        <f>'Vigeo Individual'!T5</f>
        <v>0.12952829653965928</v>
      </c>
    </row>
    <row r="28" spans="14:15" x14ac:dyDescent="0.25">
      <c r="N28" t="s">
        <v>20</v>
      </c>
      <c r="O28" s="1">
        <f>'Vigeo Individual'!T7</f>
        <v>0.14990431892297434</v>
      </c>
    </row>
    <row r="29" spans="14:15" x14ac:dyDescent="0.25">
      <c r="N29" t="s">
        <v>18</v>
      </c>
      <c r="O29" s="1">
        <f>'Vigeo Individual'!T9</f>
        <v>0.12447261062708502</v>
      </c>
    </row>
    <row r="30" spans="14:15" x14ac:dyDescent="0.25">
      <c r="N30" t="s">
        <v>1</v>
      </c>
      <c r="O30" s="1">
        <f>'Vigeo Individual'!T11</f>
        <v>0.12674314997080449</v>
      </c>
    </row>
    <row r="31" spans="14:15" x14ac:dyDescent="0.25">
      <c r="N31" t="s">
        <v>2</v>
      </c>
      <c r="O31" s="1">
        <f>'Vigeo Individual'!T13</f>
        <v>0.10175814652879288</v>
      </c>
    </row>
    <row r="32" spans="14:15" x14ac:dyDescent="0.25">
      <c r="O3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W3" sqref="W3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67</v>
      </c>
      <c r="B3" t="s">
        <v>0</v>
      </c>
      <c r="C3" t="s">
        <v>4</v>
      </c>
      <c r="D3">
        <f>[1]Sheet1!$H$8</f>
        <v>36</v>
      </c>
      <c r="T3" s="2">
        <f>[1]Sheet1!$N$5</f>
        <v>0.14098197210210078</v>
      </c>
      <c r="U3" t="s">
        <v>0</v>
      </c>
      <c r="V3" t="s">
        <v>4</v>
      </c>
      <c r="W3" s="2">
        <f>[1]Sheet1!$K$8</f>
        <v>8.6952027745127447E-2</v>
      </c>
    </row>
    <row r="4" spans="1:23" x14ac:dyDescent="0.25">
      <c r="C4" t="s">
        <v>3</v>
      </c>
      <c r="D4">
        <f>[1]Sheet1!$H$10</f>
        <v>31</v>
      </c>
      <c r="F4">
        <f>SUM(D3:D4)</f>
        <v>67</v>
      </c>
      <c r="T4" s="2"/>
      <c r="V4" t="s">
        <v>3</v>
      </c>
      <c r="W4" s="2">
        <f>[1]Sheet1!$K$10</f>
        <v>0.20372642361342461</v>
      </c>
    </row>
    <row r="5" spans="1:23" x14ac:dyDescent="0.25">
      <c r="A5">
        <f>'Vigeo Araña'!O7</f>
        <v>58</v>
      </c>
      <c r="B5" t="s">
        <v>19</v>
      </c>
      <c r="C5" t="s">
        <v>6</v>
      </c>
      <c r="D5">
        <f>[2]Sheet1!$H$8</f>
        <v>55</v>
      </c>
      <c r="T5" s="2">
        <f>[2]Sheet1!$N$5</f>
        <v>0.12952829653965928</v>
      </c>
      <c r="U5" t="s">
        <v>19</v>
      </c>
      <c r="V5" t="s">
        <v>6</v>
      </c>
      <c r="W5" s="2">
        <f>[2]Sheet1!$K$8</f>
        <v>0.10080844437090647</v>
      </c>
    </row>
    <row r="6" spans="1:23" x14ac:dyDescent="0.25">
      <c r="C6" t="s">
        <v>5</v>
      </c>
      <c r="D6">
        <f>[2]Sheet1!$H$10</f>
        <v>15</v>
      </c>
      <c r="F6">
        <f>SUM(D5:D6)</f>
        <v>70</v>
      </c>
      <c r="T6" s="2"/>
      <c r="V6" t="s">
        <v>5</v>
      </c>
      <c r="W6" s="2">
        <f>[2]Sheet1!$K$10</f>
        <v>0.1362499640685163</v>
      </c>
    </row>
    <row r="7" spans="1:23" x14ac:dyDescent="0.25">
      <c r="A7">
        <f>'Vigeo Araña'!O8</f>
        <v>56</v>
      </c>
      <c r="B7" t="s">
        <v>20</v>
      </c>
      <c r="C7" t="s">
        <v>7</v>
      </c>
      <c r="D7">
        <f>[3]Sheet1!$H$8</f>
        <v>3</v>
      </c>
      <c r="T7" s="2">
        <f>[3]Sheet1!$N$5</f>
        <v>0.14990431892297434</v>
      </c>
      <c r="U7" t="s">
        <v>20</v>
      </c>
      <c r="V7" t="s">
        <v>7</v>
      </c>
      <c r="W7" s="2">
        <f>[3]Sheet1!$K$8</f>
        <v>0.16626218482591165</v>
      </c>
    </row>
    <row r="8" spans="1:23" x14ac:dyDescent="0.25">
      <c r="C8" t="s">
        <v>8</v>
      </c>
      <c r="D8">
        <f>[3]Sheet1!$H$10</f>
        <v>6</v>
      </c>
      <c r="F8">
        <f t="shared" ref="F8" si="0">SUM(D7:D8)</f>
        <v>9</v>
      </c>
      <c r="T8" s="2"/>
      <c r="V8" t="s">
        <v>8</v>
      </c>
      <c r="W8" s="2">
        <f>[3]Sheet1!$K$10</f>
        <v>0.14634826111798796</v>
      </c>
    </row>
    <row r="9" spans="1:23" x14ac:dyDescent="0.25">
      <c r="A9">
        <f>'Vigeo Araña'!O9</f>
        <v>57</v>
      </c>
      <c r="B9" t="s">
        <v>18</v>
      </c>
      <c r="C9" t="s">
        <v>9</v>
      </c>
      <c r="D9">
        <f>[4]Sheet1!$H$8</f>
        <v>47</v>
      </c>
      <c r="T9" s="2">
        <f>[4]Sheet1!$N$5</f>
        <v>0.12447261062708502</v>
      </c>
      <c r="U9" t="s">
        <v>18</v>
      </c>
      <c r="V9" t="s">
        <v>9</v>
      </c>
      <c r="W9" s="2">
        <f>[4]Sheet1!$K$8</f>
        <v>8.7080443102360072E-2</v>
      </c>
    </row>
    <row r="10" spans="1:23" x14ac:dyDescent="0.25">
      <c r="C10" t="s">
        <v>10</v>
      </c>
      <c r="D10">
        <f>[4]Sheet1!$H$10</f>
        <v>10</v>
      </c>
      <c r="F10">
        <f t="shared" ref="F10" si="1">SUM(D9:D10)</f>
        <v>57</v>
      </c>
      <c r="T10" s="2"/>
      <c r="V10" t="s">
        <v>10</v>
      </c>
      <c r="W10" s="2">
        <f>[4]Sheet1!$K$10</f>
        <v>0.15166691428143042</v>
      </c>
    </row>
    <row r="11" spans="1:23" x14ac:dyDescent="0.25">
      <c r="A11">
        <f>'Vigeo Araña'!O10</f>
        <v>75</v>
      </c>
      <c r="B11" t="s">
        <v>1</v>
      </c>
      <c r="C11" t="s">
        <v>11</v>
      </c>
      <c r="D11">
        <f>[5]Sheet1!$H$8</f>
        <v>8</v>
      </c>
      <c r="T11" s="2">
        <f>[5]Sheet1!$N$5</f>
        <v>0.12674314997080449</v>
      </c>
      <c r="U11" t="s">
        <v>1</v>
      </c>
      <c r="V11" t="s">
        <v>11</v>
      </c>
      <c r="W11" s="2">
        <f>[5]Sheet1!$K$8</f>
        <v>0.14288964044966557</v>
      </c>
    </row>
    <row r="12" spans="1:23" x14ac:dyDescent="0.25">
      <c r="C12" t="s">
        <v>12</v>
      </c>
      <c r="D12">
        <f>[5]Sheet1!$H$10</f>
        <v>6</v>
      </c>
      <c r="F12">
        <f t="shared" ref="F12" si="2">SUM(D11:D12)</f>
        <v>14</v>
      </c>
      <c r="T12" s="2"/>
      <c r="V12" t="s">
        <v>12</v>
      </c>
      <c r="W12" s="2">
        <f>[5]Sheet1!$K$10</f>
        <v>9.2431857703224693E-2</v>
      </c>
    </row>
    <row r="13" spans="1:23" x14ac:dyDescent="0.25">
      <c r="A13">
        <f>'Vigeo Araña'!O11</f>
        <v>65</v>
      </c>
      <c r="B13" t="s">
        <v>2</v>
      </c>
      <c r="C13" t="s">
        <v>13</v>
      </c>
      <c r="D13">
        <f>[6]Sheet1!$H$8</f>
        <v>35</v>
      </c>
      <c r="T13" s="2">
        <f>[6]Sheet1!$N$5</f>
        <v>0.10175814652879288</v>
      </c>
      <c r="U13" t="s">
        <v>2</v>
      </c>
      <c r="V13" t="s">
        <v>13</v>
      </c>
      <c r="W13" s="2">
        <f>[6]Sheet1!$K$8</f>
        <v>6.7883867229113937E-2</v>
      </c>
    </row>
    <row r="14" spans="1:23" x14ac:dyDescent="0.25">
      <c r="C14" t="s">
        <v>14</v>
      </c>
      <c r="D14">
        <f>[6]Sheet1!$H$10</f>
        <v>11</v>
      </c>
      <c r="F14">
        <f t="shared" ref="F14" si="3">SUM(D13:D14)</f>
        <v>46</v>
      </c>
      <c r="T14" s="2"/>
      <c r="V14" t="s">
        <v>14</v>
      </c>
      <c r="W14" s="2">
        <f>[6]Sheet1!$K$10</f>
        <v>0.13669099705658677</v>
      </c>
    </row>
    <row r="29" spans="2:4" x14ac:dyDescent="0.25">
      <c r="B29" t="s">
        <v>0</v>
      </c>
      <c r="C29" t="s">
        <v>4</v>
      </c>
      <c r="D29" s="1">
        <f>D3/$F$4</f>
        <v>0.53731343283582089</v>
      </c>
    </row>
    <row r="30" spans="2:4" x14ac:dyDescent="0.25">
      <c r="C30" t="s">
        <v>3</v>
      </c>
      <c r="D30" s="1">
        <f t="shared" ref="D30" si="4">D4/$F$4</f>
        <v>0.46268656716417911</v>
      </c>
    </row>
    <row r="31" spans="2:4" x14ac:dyDescent="0.25">
      <c r="B31" t="s">
        <v>19</v>
      </c>
      <c r="C31" t="s">
        <v>6</v>
      </c>
      <c r="D31" s="1">
        <f>D5/$F$6</f>
        <v>0.7857142857142857</v>
      </c>
    </row>
    <row r="32" spans="2:4" x14ac:dyDescent="0.25">
      <c r="C32" t="s">
        <v>5</v>
      </c>
      <c r="D32" s="1">
        <f>D6/$F$6</f>
        <v>0.21428571428571427</v>
      </c>
    </row>
    <row r="33" spans="2:4" x14ac:dyDescent="0.25">
      <c r="B33" t="s">
        <v>20</v>
      </c>
      <c r="C33" t="s">
        <v>7</v>
      </c>
      <c r="D33" s="1">
        <f>D7/$F$8</f>
        <v>0.33333333333333331</v>
      </c>
    </row>
    <row r="34" spans="2:4" x14ac:dyDescent="0.25">
      <c r="C34" t="s">
        <v>8</v>
      </c>
      <c r="D34" s="1">
        <f>D8/$F$8</f>
        <v>0.66666666666666663</v>
      </c>
    </row>
    <row r="35" spans="2:4" x14ac:dyDescent="0.25">
      <c r="B35" t="s">
        <v>18</v>
      </c>
      <c r="C35" t="s">
        <v>9</v>
      </c>
      <c r="D35" s="1">
        <f>D9/$F$10</f>
        <v>0.82456140350877194</v>
      </c>
    </row>
    <row r="36" spans="2:4" x14ac:dyDescent="0.25">
      <c r="C36" t="s">
        <v>10</v>
      </c>
      <c r="D36" s="1">
        <f>D10/$F$10</f>
        <v>0.17543859649122806</v>
      </c>
    </row>
    <row r="37" spans="2:4" x14ac:dyDescent="0.25">
      <c r="B37" t="s">
        <v>1</v>
      </c>
      <c r="C37" t="s">
        <v>11</v>
      </c>
      <c r="D37" s="1">
        <f>D11/$F$12</f>
        <v>0.5714285714285714</v>
      </c>
    </row>
    <row r="38" spans="2:4" x14ac:dyDescent="0.25">
      <c r="C38" t="s">
        <v>12</v>
      </c>
      <c r="D38" s="1">
        <f>D12/$F$12</f>
        <v>0.42857142857142855</v>
      </c>
    </row>
    <row r="39" spans="2:4" x14ac:dyDescent="0.25">
      <c r="B39" t="s">
        <v>2</v>
      </c>
      <c r="C39" t="s">
        <v>13</v>
      </c>
      <c r="D39" s="1">
        <f>D13/$F$14</f>
        <v>0.76086956521739135</v>
      </c>
    </row>
    <row r="40" spans="2:4" x14ac:dyDescent="0.25">
      <c r="C40" t="s">
        <v>14</v>
      </c>
      <c r="D40" s="1">
        <f>D14/$F$14</f>
        <v>0.2391304347826087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2"/>
  <sheetViews>
    <sheetView tabSelected="1" workbookViewId="0">
      <selection activeCell="G29" sqref="G29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[7]Sheet1!$H$5</f>
        <v>69</v>
      </c>
    </row>
    <row r="4" spans="2:3" x14ac:dyDescent="0.25">
      <c r="B4" t="s">
        <v>15</v>
      </c>
      <c r="C4">
        <f>[7]Sheet1!$H$8</f>
        <v>34</v>
      </c>
    </row>
    <row r="5" spans="2:3" x14ac:dyDescent="0.25">
      <c r="B5" t="s">
        <v>16</v>
      </c>
      <c r="C5">
        <f>[7]Sheet1!$H$10</f>
        <v>35</v>
      </c>
    </row>
    <row r="9" spans="2:3" x14ac:dyDescent="0.25">
      <c r="B9" t="s">
        <v>22</v>
      </c>
    </row>
    <row r="10" spans="2:3" x14ac:dyDescent="0.25">
      <c r="B10" t="s">
        <v>17</v>
      </c>
      <c r="C10" s="2">
        <f>[7]Sheet1!$N$5</f>
        <v>8.2698387464240269E-2</v>
      </c>
    </row>
    <row r="11" spans="2:3" x14ac:dyDescent="0.25">
      <c r="B11" t="s">
        <v>15</v>
      </c>
      <c r="C11" s="2">
        <f>[7]Sheet1!$K$8</f>
        <v>7.7511027853895742E-2</v>
      </c>
    </row>
    <row r="12" spans="2:3" x14ac:dyDescent="0.25">
      <c r="B12" t="s">
        <v>16</v>
      </c>
      <c r="C12" s="2">
        <f>[7]Sheet1!$K$10</f>
        <v>8.7737536800003596E-2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2026-04-29T11:33:56Z</dcterms:modified>
</cp:coreProperties>
</file>