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"/>
    </mc:Choice>
  </mc:AlternateContent>
  <xr:revisionPtr revIDLastSave="0" documentId="13_ncr:1_{35B61AF3-0889-4EA1-A069-12719594967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3" i="2"/>
  <c r="W12" i="2"/>
  <c r="W11" i="2"/>
  <c r="W10" i="2"/>
  <c r="W9" i="2"/>
  <c r="W8" i="2"/>
  <c r="W7" i="2"/>
  <c r="W6" i="2"/>
  <c r="W5" i="2"/>
  <c r="W4" i="2"/>
  <c r="W3" i="2"/>
  <c r="W2" i="2"/>
  <c r="T12" i="2"/>
  <c r="T10" i="2"/>
  <c r="T8" i="2"/>
  <c r="T6" i="2"/>
  <c r="T4" i="2"/>
  <c r="T2" i="2"/>
  <c r="D14" i="2"/>
  <c r="D13" i="2"/>
  <c r="D12" i="2"/>
  <c r="D11" i="2"/>
  <c r="D10" i="2"/>
  <c r="D9" i="2"/>
  <c r="D8" i="2"/>
  <c r="D7" i="2"/>
  <c r="D6" i="2"/>
  <c r="D5" i="2"/>
  <c r="D4" i="2"/>
  <c r="D3" i="2"/>
  <c r="O11" i="1"/>
  <c r="O10" i="1"/>
  <c r="O9" i="1"/>
  <c r="O8" i="1"/>
  <c r="O7" i="1"/>
  <c r="O6" i="1"/>
  <c r="O32" i="1" l="1"/>
  <c r="O31" i="1"/>
  <c r="O30" i="1"/>
  <c r="O29" i="1"/>
  <c r="O28" i="1"/>
  <c r="O27" i="1"/>
  <c r="F4" i="2" l="1"/>
  <c r="D30" i="2" s="1"/>
  <c r="F14" i="2"/>
  <c r="D40" i="2" s="1"/>
  <c r="F12" i="2"/>
  <c r="F10" i="2"/>
  <c r="D36" i="2" s="1"/>
  <c r="F6" i="2"/>
  <c r="D31" i="2" s="1"/>
  <c r="F8" i="2"/>
  <c r="D34" i="2" s="1"/>
  <c r="A5" i="2"/>
  <c r="A13" i="2"/>
  <c r="A11" i="2"/>
  <c r="A9" i="2"/>
  <c r="D37" i="2" l="1"/>
  <c r="D38" i="2"/>
  <c r="D33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<sst xmlns="http://schemas.openxmlformats.org/spreadsheetml/2006/main" count="74" uniqueCount="23">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</sst>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51</c:v>
                </c:pt>
                <c:pt idx="1">
                  <c:v>46</c:v>
                </c:pt>
                <c:pt idx="2">
                  <c:v>46</c:v>
                </c:pt>
                <c:pt idx="3">
                  <c:v>93</c:v>
                </c:pt>
                <c:pt idx="4">
                  <c:v>96</c:v>
                </c:pt>
                <c:pt idx="5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Araña'!$O$27:$O$32</c:f>
              <c:numCache>
                <c:formatCode>0%</c:formatCode>
                <c:ptCount val="6"/>
                <c:pt idx="0">
                  <c:v>0.5518914764589502</c:v>
                </c:pt>
                <c:pt idx="1">
                  <c:v>0.5674796218274476</c:v>
                </c:pt>
                <c:pt idx="2">
                  <c:v>0.35996541111630614</c:v>
                </c:pt>
                <c:pt idx="3">
                  <c:v>0.25258586027086943</c:v>
                </c:pt>
                <c:pt idx="4">
                  <c:v>0.25911967593952845</c:v>
                </c:pt>
                <c:pt idx="5">
                  <c:v>0.36859278992612382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6</c:v>
                </c:pt>
                <c:pt idx="1">
                  <c:v>45</c:v>
                </c:pt>
                <c:pt idx="2">
                  <c:v>11</c:v>
                </c:pt>
                <c:pt idx="3">
                  <c:v>35</c:v>
                </c:pt>
                <c:pt idx="4">
                  <c:v>38</c:v>
                </c:pt>
                <c:pt idx="5">
                  <c:v>8</c:v>
                </c:pt>
                <c:pt idx="6">
                  <c:v>24</c:v>
                </c:pt>
                <c:pt idx="7">
                  <c:v>69</c:v>
                </c:pt>
                <c:pt idx="8">
                  <c:v>22</c:v>
                </c:pt>
                <c:pt idx="9">
                  <c:v>74</c:v>
                </c:pt>
                <c:pt idx="10">
                  <c:v>15</c:v>
                </c:pt>
                <c:pt idx="1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Individual'!$D$29:$D$40</c:f>
              <c:numCache>
                <c:formatCode>0%</c:formatCode>
                <c:ptCount val="12"/>
                <c:pt idx="0">
                  <c:v>0.11764705882352941</c:v>
                </c:pt>
                <c:pt idx="1">
                  <c:v>0.88235294117647056</c:v>
                </c:pt>
                <c:pt idx="2">
                  <c:v>0.2391304347826087</c:v>
                </c:pt>
                <c:pt idx="3">
                  <c:v>0.76086956521739135</c:v>
                </c:pt>
                <c:pt idx="4">
                  <c:v>0.82608695652173914</c:v>
                </c:pt>
                <c:pt idx="5">
                  <c:v>0.17391304347826086</c:v>
                </c:pt>
                <c:pt idx="6">
                  <c:v>0.25806451612903225</c:v>
                </c:pt>
                <c:pt idx="7">
                  <c:v>0.74193548387096775</c:v>
                </c:pt>
                <c:pt idx="8">
                  <c:v>0.22916666666666666</c:v>
                </c:pt>
                <c:pt idx="9">
                  <c:v>0.77083333333333337</c:v>
                </c:pt>
                <c:pt idx="10">
                  <c:v>0.12</c:v>
                </c:pt>
                <c:pt idx="11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BE3-490E-9015-ACB65A349C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Individual'!$W$2:$W$13</c:f>
              <c:numCache>
                <c:formatCode>0.0%</c:formatCode>
                <c:ptCount val="12"/>
                <c:pt idx="0">
                  <c:v>0.27570207570207572</c:v>
                </c:pt>
                <c:pt idx="1">
                  <c:v>0.58871672989320034</c:v>
                </c:pt>
                <c:pt idx="2">
                  <c:v>0.30771501226046682</c:v>
                </c:pt>
                <c:pt idx="3">
                  <c:v>0.64911992769135607</c:v>
                </c:pt>
                <c:pt idx="4">
                  <c:v>0.38839364110261931</c:v>
                </c:pt>
                <c:pt idx="5">
                  <c:v>0.22493131868131869</c:v>
                </c:pt>
                <c:pt idx="6">
                  <c:v>0.403623949579832</c:v>
                </c:pt>
                <c:pt idx="7">
                  <c:v>0.20005087268514368</c:v>
                </c:pt>
                <c:pt idx="8">
                  <c:v>0.36203420762244298</c:v>
                </c:pt>
                <c:pt idx="9">
                  <c:v>0.22852346381758126</c:v>
                </c:pt>
                <c:pt idx="10">
                  <c:v>0.27936507936507932</c:v>
                </c:pt>
                <c:pt idx="11">
                  <c:v>0.38076020500262953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11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without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Full'!$C$12:$C$13</c:f>
              <c:numCache>
                <c:formatCode>0%</c:formatCode>
                <c:ptCount val="2"/>
                <c:pt idx="0">
                  <c:v>0.3737373737373737</c:v>
                </c:pt>
                <c:pt idx="1">
                  <c:v>0.35273005458190593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9</xdr:col>
      <xdr:colOff>215811</xdr:colOff>
      <xdr:row>19</xdr:row>
      <xdr:rowOff>6262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No%20Context/FinGPT_full.xlsx" TargetMode="External"/><Relationship Id="rId1" Type="http://schemas.openxmlformats.org/officeDocument/2006/relationships/externalLinkPath" Target="/Users/jsanchez/Downloads/organic_2/FinGPT/No%20Context/FinGPT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No%20Context/FinGPT_religion.xlsx" TargetMode="External"/><Relationship Id="rId1" Type="http://schemas.openxmlformats.org/officeDocument/2006/relationships/externalLinkPath" Target="/Users/jsanchez/Downloads/organic_2/FinGPT/No%20Context/FinGPT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No%20Context/FinGPT_religion_gender.xlsx" TargetMode="External"/><Relationship Id="rId1" Type="http://schemas.openxmlformats.org/officeDocument/2006/relationships/externalLinkPath" Target="/Users/jsanchez/Downloads/organic_2/FinGPT/No%20Context/FinGPT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No%20Context/FinGPT_gender.xlsx" TargetMode="External"/><Relationship Id="rId1" Type="http://schemas.openxmlformats.org/officeDocument/2006/relationships/externalLinkPath" Target="/Users/jsanchez/Downloads/organic_2/FinGPT/No%20Context/FinGPT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No%20Context/FinGPT_age_gender.xlsx" TargetMode="External"/><Relationship Id="rId1" Type="http://schemas.openxmlformats.org/officeDocument/2006/relationships/externalLinkPath" Target="/Users/jsanchez/Downloads/organic_2/FinGPT/No%20Context/FinGPT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No%20Context/FinGPT_age.xlsx" TargetMode="External"/><Relationship Id="rId1" Type="http://schemas.openxmlformats.org/officeDocument/2006/relationships/externalLinkPath" Target="/Users/jsanchez/Downloads/organic_2/FinGPT/No%20Context/FinGPT_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No%20Context/FinGPT_age_religion.xlsx" TargetMode="External"/><Relationship Id="rId1" Type="http://schemas.openxmlformats.org/officeDocument/2006/relationships/externalLinkPath" Target="/Users/jsanchez/Downloads/organic_2/FinGPT/No%20Context/FinGPT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101</v>
          </cell>
          <cell r="P5">
            <v>0.35501798043052163</v>
          </cell>
        </row>
        <row r="8">
          <cell r="J8">
            <v>11</v>
          </cell>
          <cell r="M8">
            <v>0.3737373737373737</v>
          </cell>
        </row>
        <row r="10">
          <cell r="J10">
            <v>90</v>
          </cell>
          <cell r="M10">
            <v>0.35273005458190593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51</v>
          </cell>
          <cell r="P5">
            <v>0.5518914764589502</v>
          </cell>
        </row>
        <row r="8">
          <cell r="J8">
            <v>6</v>
          </cell>
          <cell r="M8">
            <v>0.27570207570207572</v>
          </cell>
        </row>
        <row r="10">
          <cell r="J10">
            <v>45</v>
          </cell>
          <cell r="M10">
            <v>0.58871672989320034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46</v>
          </cell>
          <cell r="P5">
            <v>0.5674796218274476</v>
          </cell>
        </row>
        <row r="8">
          <cell r="J8">
            <v>11</v>
          </cell>
          <cell r="M8">
            <v>0.30771501226046682</v>
          </cell>
        </row>
        <row r="10">
          <cell r="J10">
            <v>35</v>
          </cell>
          <cell r="M10">
            <v>0.64911992769135607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46</v>
          </cell>
          <cell r="P5">
            <v>0.35996541111630614</v>
          </cell>
        </row>
        <row r="8">
          <cell r="J8">
            <v>38</v>
          </cell>
          <cell r="M8">
            <v>0.38839364110261931</v>
          </cell>
        </row>
        <row r="10">
          <cell r="J10">
            <v>8</v>
          </cell>
          <cell r="M10">
            <v>0.22493131868131869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93</v>
          </cell>
          <cell r="P5">
            <v>0.25258586027086943</v>
          </cell>
        </row>
        <row r="8">
          <cell r="J8">
            <v>24</v>
          </cell>
          <cell r="M8">
            <v>0.403623949579832</v>
          </cell>
        </row>
        <row r="10">
          <cell r="J10">
            <v>69</v>
          </cell>
          <cell r="M10">
            <v>0.20005087268514368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96</v>
          </cell>
          <cell r="P5">
            <v>0.25911967593952845</v>
          </cell>
        </row>
        <row r="8">
          <cell r="J8">
            <v>22</v>
          </cell>
          <cell r="M8">
            <v>0.36203420762244298</v>
          </cell>
        </row>
        <row r="10">
          <cell r="J10">
            <v>74</v>
          </cell>
          <cell r="M10">
            <v>0.22852346381758126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125</v>
          </cell>
          <cell r="P5">
            <v>0.36859278992612382</v>
          </cell>
        </row>
        <row r="8">
          <cell r="J8">
            <v>15</v>
          </cell>
          <cell r="M8">
            <v>0.27936507936507932</v>
          </cell>
        </row>
        <row r="10">
          <cell r="J10">
            <v>110</v>
          </cell>
          <cell r="M10">
            <v>0.38076020500262953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8" zoomScale="115" zoomScaleNormal="115" workbookViewId="0">
      <selection activeCell="O27" sqref="O27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[2]Sheet1!$J$5</f>
        <v>51</v>
      </c>
    </row>
    <row r="7" spans="14:15" x14ac:dyDescent="0.25">
      <c r="N7" t="s">
        <v>19</v>
      </c>
      <c r="O7">
        <f>[3]Sheet1!$J$5</f>
        <v>46</v>
      </c>
    </row>
    <row r="8" spans="14:15" x14ac:dyDescent="0.25">
      <c r="N8" t="s">
        <v>20</v>
      </c>
      <c r="O8">
        <f>[4]Sheet1!$J$5</f>
        <v>46</v>
      </c>
    </row>
    <row r="9" spans="14:15" x14ac:dyDescent="0.25">
      <c r="N9" t="s">
        <v>18</v>
      </c>
      <c r="O9">
        <f>[5]Sheet1!$J$5</f>
        <v>93</v>
      </c>
    </row>
    <row r="10" spans="14:15" x14ac:dyDescent="0.25">
      <c r="N10" t="s">
        <v>1</v>
      </c>
      <c r="O10">
        <f>[6]Sheet1!$J$5</f>
        <v>96</v>
      </c>
    </row>
    <row r="11" spans="14:15" x14ac:dyDescent="0.25">
      <c r="N11" t="s">
        <v>2</v>
      </c>
      <c r="O11">
        <f>[7]Sheet1!$J$5</f>
        <v>125</v>
      </c>
    </row>
    <row r="27" spans="14:15" x14ac:dyDescent="0.25">
      <c r="N27" t="s">
        <v>0</v>
      </c>
      <c r="O27" s="1">
        <f>'NoContext Individual'!T2</f>
        <v>0.5518914764589502</v>
      </c>
    </row>
    <row r="28" spans="14:15" x14ac:dyDescent="0.25">
      <c r="N28" t="s">
        <v>19</v>
      </c>
      <c r="O28" s="1">
        <f>'NoContext Individual'!T4</f>
        <v>0.5674796218274476</v>
      </c>
    </row>
    <row r="29" spans="14:15" x14ac:dyDescent="0.25">
      <c r="N29" t="s">
        <v>20</v>
      </c>
      <c r="O29" s="1">
        <f>'NoContext Individual'!T6</f>
        <v>0.35996541111630614</v>
      </c>
    </row>
    <row r="30" spans="14:15" x14ac:dyDescent="0.25">
      <c r="N30" t="s">
        <v>18</v>
      </c>
      <c r="O30" s="1">
        <f>'NoContext Individual'!T8</f>
        <v>0.25258586027086943</v>
      </c>
    </row>
    <row r="31" spans="14:15" x14ac:dyDescent="0.25">
      <c r="N31" t="s">
        <v>1</v>
      </c>
      <c r="O31" s="1">
        <f>'NoContext Individual'!T10</f>
        <v>0.25911967593952845</v>
      </c>
    </row>
    <row r="32" spans="14:15" x14ac:dyDescent="0.25">
      <c r="N32" t="s">
        <v>2</v>
      </c>
      <c r="O32" s="1">
        <f>'NoContext Individual'!T12</f>
        <v>0.36859278992612382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zoomScale="85" zoomScaleNormal="85" workbookViewId="0">
      <selection activeCell="W14" sqref="W14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[2]Sheet1!$P$5</f>
        <v>0.5518914764589502</v>
      </c>
      <c r="U2" t="s">
        <v>0</v>
      </c>
      <c r="V2" t="s">
        <v>4</v>
      </c>
      <c r="W2" s="2">
        <f>[2]Sheet1!$M$8</f>
        <v>0.27570207570207572</v>
      </c>
    </row>
    <row r="3" spans="1:23" x14ac:dyDescent="0.25">
      <c r="A3">
        <f>'NoContext Araña'!O6</f>
        <v>51</v>
      </c>
      <c r="B3" t="s">
        <v>0</v>
      </c>
      <c r="C3" t="s">
        <v>4</v>
      </c>
      <c r="D3">
        <f>[2]Sheet1!$J$8</f>
        <v>6</v>
      </c>
      <c r="T3" s="2"/>
      <c r="V3" t="s">
        <v>3</v>
      </c>
      <c r="W3" s="2">
        <f>[2]Sheet1!$M$10</f>
        <v>0.58871672989320034</v>
      </c>
    </row>
    <row r="4" spans="1:23" x14ac:dyDescent="0.25">
      <c r="C4" t="s">
        <v>3</v>
      </c>
      <c r="D4">
        <f>[2]Sheet1!$J$10</f>
        <v>45</v>
      </c>
      <c r="F4">
        <f>SUM(D3:D4)</f>
        <v>51</v>
      </c>
      <c r="T4" s="2">
        <f>[3]Sheet1!$P$5</f>
        <v>0.5674796218274476</v>
      </c>
      <c r="U4" t="s">
        <v>19</v>
      </c>
      <c r="V4" t="s">
        <v>6</v>
      </c>
      <c r="W4" s="2">
        <f>[3]Sheet1!$M$8</f>
        <v>0.30771501226046682</v>
      </c>
    </row>
    <row r="5" spans="1:23" x14ac:dyDescent="0.25">
      <c r="A5">
        <f>'NoContext Araña'!O7</f>
        <v>46</v>
      </c>
      <c r="B5" t="s">
        <v>19</v>
      </c>
      <c r="C5" t="s">
        <v>6</v>
      </c>
      <c r="D5">
        <f>[3]Sheet1!$J$8</f>
        <v>11</v>
      </c>
      <c r="T5" s="2"/>
      <c r="V5" t="s">
        <v>5</v>
      </c>
      <c r="W5" s="2">
        <f>[3]Sheet1!$M$10</f>
        <v>0.64911992769135607</v>
      </c>
    </row>
    <row r="6" spans="1:23" x14ac:dyDescent="0.25">
      <c r="C6" t="s">
        <v>5</v>
      </c>
      <c r="D6">
        <f>[3]Sheet1!$J$10</f>
        <v>35</v>
      </c>
      <c r="F6">
        <f>SUM(D5:D6)</f>
        <v>46</v>
      </c>
      <c r="T6" s="2">
        <f>[4]Sheet1!$P$5</f>
        <v>0.35996541111630614</v>
      </c>
      <c r="U6" t="s">
        <v>20</v>
      </c>
      <c r="V6" t="s">
        <v>7</v>
      </c>
      <c r="W6" s="2">
        <f>[4]Sheet1!$M$8</f>
        <v>0.38839364110261931</v>
      </c>
    </row>
    <row r="7" spans="1:23" x14ac:dyDescent="0.25">
      <c r="A7">
        <f>'NoContext Araña'!O8</f>
        <v>46</v>
      </c>
      <c r="B7" t="s">
        <v>20</v>
      </c>
      <c r="C7" t="s">
        <v>7</v>
      </c>
      <c r="D7">
        <f>[4]Sheet1!$J$8</f>
        <v>38</v>
      </c>
      <c r="T7" s="2"/>
      <c r="V7" t="s">
        <v>8</v>
      </c>
      <c r="W7" s="2">
        <f>[4]Sheet1!$M$10</f>
        <v>0.22493131868131869</v>
      </c>
    </row>
    <row r="8" spans="1:23" x14ac:dyDescent="0.25">
      <c r="C8" t="s">
        <v>8</v>
      </c>
      <c r="D8">
        <f>[4]Sheet1!$J$10</f>
        <v>8</v>
      </c>
      <c r="F8">
        <f t="shared" ref="F8" si="0">SUM(D7:D8)</f>
        <v>46</v>
      </c>
      <c r="T8" s="2">
        <f>[5]Sheet1!$P$5</f>
        <v>0.25258586027086943</v>
      </c>
      <c r="U8" t="s">
        <v>18</v>
      </c>
      <c r="V8" t="s">
        <v>9</v>
      </c>
      <c r="W8" s="2">
        <f>[5]Sheet1!$M$8</f>
        <v>0.403623949579832</v>
      </c>
    </row>
    <row r="9" spans="1:23" x14ac:dyDescent="0.25">
      <c r="A9">
        <f>'NoContext Araña'!O9</f>
        <v>93</v>
      </c>
      <c r="B9" t="s">
        <v>18</v>
      </c>
      <c r="C9" t="s">
        <v>9</v>
      </c>
      <c r="D9">
        <f>[5]Sheet1!$J$8</f>
        <v>24</v>
      </c>
      <c r="T9" s="2"/>
      <c r="V9" t="s">
        <v>10</v>
      </c>
      <c r="W9" s="2">
        <f>[5]Sheet1!$M$10</f>
        <v>0.20005087268514368</v>
      </c>
    </row>
    <row r="10" spans="1:23" x14ac:dyDescent="0.25">
      <c r="C10" t="s">
        <v>10</v>
      </c>
      <c r="D10">
        <f>[5]Sheet1!$J$10</f>
        <v>69</v>
      </c>
      <c r="F10">
        <f t="shared" ref="F10" si="1">SUM(D9:D10)</f>
        <v>93</v>
      </c>
      <c r="T10" s="2">
        <f>[6]Sheet1!$P$5</f>
        <v>0.25911967593952845</v>
      </c>
      <c r="U10" t="s">
        <v>1</v>
      </c>
      <c r="V10" t="s">
        <v>11</v>
      </c>
      <c r="W10" s="2">
        <f>[6]Sheet1!$M$8</f>
        <v>0.36203420762244298</v>
      </c>
    </row>
    <row r="11" spans="1:23" x14ac:dyDescent="0.25">
      <c r="A11">
        <f>'NoContext Araña'!O10</f>
        <v>96</v>
      </c>
      <c r="B11" t="s">
        <v>1</v>
      </c>
      <c r="C11" t="s">
        <v>11</v>
      </c>
      <c r="D11">
        <f>[6]Sheet1!$J$8</f>
        <v>22</v>
      </c>
      <c r="T11" s="2"/>
      <c r="V11" t="s">
        <v>12</v>
      </c>
      <c r="W11" s="2">
        <f>[6]Sheet1!$M$10</f>
        <v>0.22852346381758126</v>
      </c>
    </row>
    <row r="12" spans="1:23" x14ac:dyDescent="0.25">
      <c r="C12" t="s">
        <v>12</v>
      </c>
      <c r="D12">
        <f>[6]Sheet1!$J$10</f>
        <v>74</v>
      </c>
      <c r="F12">
        <f t="shared" ref="F12" si="2">SUM(D11:D12)</f>
        <v>96</v>
      </c>
      <c r="T12" s="2">
        <f>[7]Sheet1!$P$5</f>
        <v>0.36859278992612382</v>
      </c>
      <c r="U12" t="s">
        <v>2</v>
      </c>
      <c r="V12" t="s">
        <v>13</v>
      </c>
      <c r="W12" s="2">
        <f>[7]Sheet1!$M$8</f>
        <v>0.27936507936507932</v>
      </c>
    </row>
    <row r="13" spans="1:23" x14ac:dyDescent="0.25">
      <c r="A13">
        <f>'NoContext Araña'!O11</f>
        <v>125</v>
      </c>
      <c r="B13" t="s">
        <v>2</v>
      </c>
      <c r="C13" t="s">
        <v>13</v>
      </c>
      <c r="D13">
        <f>[7]Sheet1!$J$8</f>
        <v>15</v>
      </c>
      <c r="T13" s="2"/>
      <c r="V13" t="s">
        <v>14</v>
      </c>
      <c r="W13" s="2">
        <f>[7]Sheet1!$M$10</f>
        <v>0.38076020500262953</v>
      </c>
    </row>
    <row r="14" spans="1:23" x14ac:dyDescent="0.25">
      <c r="C14" t="s">
        <v>14</v>
      </c>
      <c r="D14">
        <f>[7]Sheet1!$J$10</f>
        <v>110</v>
      </c>
      <c r="F14">
        <f t="shared" ref="F14" si="3">SUM(D13:D14)</f>
        <v>125</v>
      </c>
    </row>
    <row r="29" spans="2:4" x14ac:dyDescent="0.25">
      <c r="B29" t="s">
        <v>0</v>
      </c>
      <c r="C29" t="s">
        <v>4</v>
      </c>
      <c r="D29" s="1">
        <f>D3/$F$4</f>
        <v>0.11764705882352941</v>
      </c>
    </row>
    <row r="30" spans="2:4" x14ac:dyDescent="0.25">
      <c r="C30" t="s">
        <v>3</v>
      </c>
      <c r="D30" s="1">
        <f t="shared" ref="D30" si="4">D4/$F$4</f>
        <v>0.88235294117647056</v>
      </c>
    </row>
    <row r="31" spans="2:4" x14ac:dyDescent="0.25">
      <c r="B31" t="s">
        <v>19</v>
      </c>
      <c r="C31" t="s">
        <v>6</v>
      </c>
      <c r="D31" s="1">
        <f>D5/$F$6</f>
        <v>0.2391304347826087</v>
      </c>
    </row>
    <row r="32" spans="2:4" x14ac:dyDescent="0.25">
      <c r="C32" t="s">
        <v>5</v>
      </c>
      <c r="D32" s="1">
        <f>D6/$F$6</f>
        <v>0.76086956521739135</v>
      </c>
    </row>
    <row r="33" spans="2:4" x14ac:dyDescent="0.25">
      <c r="B33" t="s">
        <v>20</v>
      </c>
      <c r="C33" t="s">
        <v>7</v>
      </c>
      <c r="D33" s="1">
        <f>D7/$F$8</f>
        <v>0.82608695652173914</v>
      </c>
    </row>
    <row r="34" spans="2:4" x14ac:dyDescent="0.25">
      <c r="C34" t="s">
        <v>8</v>
      </c>
      <c r="D34" s="1">
        <f>D8/$F$8</f>
        <v>0.17391304347826086</v>
      </c>
    </row>
    <row r="35" spans="2:4" x14ac:dyDescent="0.25">
      <c r="B35" t="s">
        <v>18</v>
      </c>
      <c r="C35" t="s">
        <v>9</v>
      </c>
      <c r="D35" s="1">
        <f>D9/$F$10</f>
        <v>0.25806451612903225</v>
      </c>
    </row>
    <row r="36" spans="2:4" x14ac:dyDescent="0.25">
      <c r="C36" t="s">
        <v>10</v>
      </c>
      <c r="D36" s="1">
        <f>D10/$F$10</f>
        <v>0.74193548387096775</v>
      </c>
    </row>
    <row r="37" spans="2:4" x14ac:dyDescent="0.25">
      <c r="B37" t="s">
        <v>1</v>
      </c>
      <c r="C37" t="s">
        <v>11</v>
      </c>
      <c r="D37" s="1">
        <f>IFERROR(D11/$F$12,0)</f>
        <v>0.22916666666666666</v>
      </c>
    </row>
    <row r="38" spans="2:4" x14ac:dyDescent="0.25">
      <c r="C38" t="s">
        <v>12</v>
      </c>
      <c r="D38" s="1">
        <f>IFERROR(D12/$F$12,0)</f>
        <v>0.77083333333333337</v>
      </c>
    </row>
    <row r="39" spans="2:4" x14ac:dyDescent="0.25">
      <c r="B39" t="s">
        <v>2</v>
      </c>
      <c r="C39" t="s">
        <v>13</v>
      </c>
      <c r="D39" s="1">
        <f>D13/$F$14</f>
        <v>0.12</v>
      </c>
    </row>
    <row r="40" spans="2:4" x14ac:dyDescent="0.25">
      <c r="C40" t="s">
        <v>14</v>
      </c>
      <c r="D40" s="1">
        <f>D14/$F$14</f>
        <v>0.88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D13"/>
  <sheetViews>
    <sheetView tabSelected="1" workbookViewId="0">
      <selection activeCell="M13" sqref="M13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[1]Sheet1!$J$5</f>
        <v>101</v>
      </c>
    </row>
    <row r="4" spans="2:4" x14ac:dyDescent="0.25">
      <c r="B4" t="s">
        <v>15</v>
      </c>
      <c r="C4">
        <f>[1]Sheet1!$J$8</f>
        <v>11</v>
      </c>
    </row>
    <row r="5" spans="2:4" x14ac:dyDescent="0.25">
      <c r="B5" t="s">
        <v>16</v>
      </c>
      <c r="C5">
        <f>[1]Sheet1!$J$10</f>
        <v>90</v>
      </c>
    </row>
    <row r="10" spans="2:4" x14ac:dyDescent="0.25">
      <c r="B10" t="s">
        <v>22</v>
      </c>
    </row>
    <row r="11" spans="2:4" x14ac:dyDescent="0.25">
      <c r="B11" t="s">
        <v>17</v>
      </c>
      <c r="C11" s="1">
        <f>[1]Sheet1!$P$5</f>
        <v>0.35501798043052163</v>
      </c>
      <c r="D11" s="2"/>
    </row>
    <row r="12" spans="2:4" x14ac:dyDescent="0.25">
      <c r="B12" t="s">
        <v>15</v>
      </c>
      <c r="C12" s="1">
        <f>[1]Sheet1!$M$8</f>
        <v>0.3737373737373737</v>
      </c>
      <c r="D12" s="2"/>
    </row>
    <row r="13" spans="2:4" x14ac:dyDescent="0.25">
      <c r="B13" t="s">
        <v>16</v>
      </c>
      <c r="C13" s="1">
        <f>[1]Sheet1!$M$10</f>
        <v>0.35273005458190593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2026-06-12T08:13:19Z</dcterms:modified>
</cp:coreProperties>
</file>