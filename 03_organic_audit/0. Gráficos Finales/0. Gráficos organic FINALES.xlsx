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3_organic_audit\0. Gráficos Finales\"/>
    </mc:Choice>
  </mc:AlternateContent>
  <xr:revisionPtr revIDLastSave="0" documentId="13_ncr:1_{C50CEE53-6B37-4175-B915-E4EA4C0AD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GPT vs Llama" sheetId="1" r:id="rId1"/>
    <sheet name="Llama NoContext vs Vigeo" sheetId="3" r:id="rId2"/>
    <sheet name="FinGPT NoContext vs Vigeo" sheetId="2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1" l="1" a="1"/>
  <c r="B45" i="1" s="1"/>
  <c r="P45" i="1" a="1"/>
  <c r="P45" i="1" s="1"/>
  <c r="M45" i="1" a="1"/>
  <c r="M45" i="1" s="1"/>
  <c r="Q50" i="1"/>
  <c r="N50" i="1"/>
  <c r="F45" i="1" a="1"/>
  <c r="D46" i="1"/>
  <c r="D47" i="1"/>
  <c r="D48" i="1"/>
  <c r="D49" i="1"/>
  <c r="D50" i="1"/>
  <c r="D45" i="1"/>
  <c r="C45" i="1" a="1"/>
  <c r="C45" i="1" s="1"/>
  <c r="F45" i="1" l="1"/>
  <c r="G45" i="1" s="1"/>
  <c r="G46" i="1"/>
  <c r="G48" i="1"/>
  <c r="G47" i="1"/>
  <c r="G50" i="1"/>
  <c r="G49" i="1"/>
  <c r="N45" i="1"/>
  <c r="Q45" i="1"/>
  <c r="N46" i="1"/>
  <c r="Q46" i="1"/>
  <c r="N47" i="1"/>
  <c r="Q47" i="1"/>
  <c r="N48" i="1"/>
  <c r="Q48" i="1"/>
  <c r="N49" i="1"/>
  <c r="Q4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<sst xmlns="http://schemas.openxmlformats.org/spreadsheetml/2006/main" count="6" uniqueCount="4">
  <si>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NO CONTEXT</t>
  </si>
  <si>
    <t>VIGEO</t>
  </si>
  <si>
    <t>Llama</t>
  </si>
  <si>
    <t>FinGPT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</si>
</sst>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Number of discrepancies by Bias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'FinGPT vs Llama'!$B$45:$B$50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'[3]NoContext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49</c:v>
                </c:pt>
                <c:pt idx="2">
                  <c:v>44</c:v>
                </c:pt>
                <c:pt idx="3">
                  <c:v>63</c:v>
                </c:pt>
                <c:pt idx="4">
                  <c:v>56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DF-45DE-B8D9-4E14F90FC620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'FinGPT vs Llama'!$B$45:$B$50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F-45DE-B8D9-4E14F90FC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by Bias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Llama'!$D$45:$D$50</c:f>
              <c:numCache>
                <c:formatCode>0%</c:formatCode>
                <c:ptCount val="6"/>
                <c:pt idx="0">
                  <c:v>0.28782179782025624</c:v>
                </c:pt>
                <c:pt idx="1">
                  <c:v>0.28220283118242295</c:v>
                </c:pt>
                <c:pt idx="2">
                  <c:v>0.2168600254654976</c:v>
                </c:pt>
                <c:pt idx="3">
                  <c:v>0.21359537773176965</c:v>
                </c:pt>
                <c:pt idx="4">
                  <c:v>0.17952293740315689</c:v>
                </c:pt>
                <c:pt idx="5">
                  <c:v>0.26881842730259026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9-420F-9EF7-EC9B10F493CF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#REF!</c:f>
            </c:strRef>
          </c:cat>
          <c:val>
            <c:numRef>
              <c:f>'FinGPT vs Llama'!$G$45:$G$50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9-420F-9EF7-EC9B10F49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Number of discrepancies by Bias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7B-49EB-A4CF-B3FCA137434F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'[2]Vigeo Araña'!$O$6:$O$11</c:f>
              <c:numCache>
                <c:formatCode>General</c:formatCode>
                <c:ptCount val="6"/>
                <c:pt idx="0">
                  <c:v>10</c:v>
                </c:pt>
                <c:pt idx="1">
                  <c:v>16</c:v>
                </c:pt>
                <c:pt idx="2">
                  <c:v>18</c:v>
                </c:pt>
                <c:pt idx="3">
                  <c:v>14</c:v>
                </c:pt>
                <c:pt idx="4">
                  <c:v>10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7B-49EB-A4CF-B3FCA1374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by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Llama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Llama'!$N$45:$N$50</c:f>
              <c:numCache>
                <c:formatCode>0%</c:formatCode>
                <c:ptCount val="6"/>
                <c:pt idx="0">
                  <c:v>0.44318181818181818</c:v>
                </c:pt>
                <c:pt idx="1">
                  <c:v>0.29868444269602462</c:v>
                </c:pt>
                <c:pt idx="2">
                  <c:v>5.5939532959801447E-2</c:v>
                </c:pt>
                <c:pt idx="3">
                  <c:v>0.37334475775042841</c:v>
                </c:pt>
                <c:pt idx="4">
                  <c:v>0.3666666666666667</c:v>
                </c:pt>
                <c:pt idx="5">
                  <c:v>0.24725336845178567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6C-4CD2-8BFF-9BBF9FD4FA34}"/>
            </c:ext>
          </c:extLst>
        </c:ser>
        <c:ser>
          <c:idx val="0"/>
          <c:order val="1"/>
          <c:tx>
            <c:v>FinGPT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'FinGPT vs Llama'!$Q$45:$Q$50</c:f>
              <c:numCache>
                <c:formatCode>0%</c:formatCode>
                <c:ptCount val="6"/>
                <c:pt idx="0">
                  <c:v>0.24238096040532725</c:v>
                </c:pt>
                <c:pt idx="1">
                  <c:v>0.27705662393162389</c:v>
                </c:pt>
                <c:pt idx="2">
                  <c:v>9.5634215686974819E-2</c:v>
                </c:pt>
                <c:pt idx="3">
                  <c:v>0.13825077619980208</c:v>
                </c:pt>
                <c:pt idx="4">
                  <c:v>9.2281764984869286E-2</c:v>
                </c:pt>
                <c:pt idx="5">
                  <c:v>0.20576756962296264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6C-4CD2-8BFF-9BBF9FD4F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baseline="0">
                <a:solidFill>
                  <a:srgbClr val="44546A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Comparison of discrepancies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600" b="1" i="0" u="none" strike="noStrike" kern="1200" baseline="0">
              <a:solidFill>
                <a:srgbClr val="44546A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'[3]NoContext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'[3]NoContext Araña'!$O$6:$O$11</c:f>
              <c:numCache>
                <c:formatCode>General</c:formatCode>
                <c:ptCount val="6"/>
                <c:pt idx="0">
                  <c:v>52</c:v>
                </c:pt>
                <c:pt idx="1">
                  <c:v>49</c:v>
                </c:pt>
                <c:pt idx="2">
                  <c:v>44</c:v>
                </c:pt>
                <c:pt idx="3">
                  <c:v>63</c:v>
                </c:pt>
                <c:pt idx="4">
                  <c:v>56</c:v>
                </c:pt>
                <c:pt idx="5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D6-4ED8-934B-CBE8594D0E56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Araña'!$O$6:$O$11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3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D6-4ED8-934B-CBE8594D0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 sz="1600" b="1" i="0" u="none" strike="noStrike" kern="1200" baseline="0">
                <a:solidFill>
                  <a:srgbClr val="44546A"/>
                </a:solidFill>
              </a:rPr>
              <a:t>Llama - Comparison of deviation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'[3]NoContext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'[3]NoContext Araña'!$O$27:$O$32</c:f>
              <c:numCache>
                <c:formatCode>General</c:formatCode>
                <c:ptCount val="6"/>
                <c:pt idx="0">
                  <c:v>0.57564359564051248</c:v>
                </c:pt>
                <c:pt idx="1">
                  <c:v>0.56440566236484591</c:v>
                </c:pt>
                <c:pt idx="2">
                  <c:v>0.43372005093099519</c:v>
                </c:pt>
                <c:pt idx="3">
                  <c:v>0.4271907554635393</c:v>
                </c:pt>
                <c:pt idx="4">
                  <c:v>0.35904587480631378</c:v>
                </c:pt>
                <c:pt idx="5">
                  <c:v>0.53763685460518051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3-4595-A163-85DE58E1F200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'[4]Vigeo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'[4]Vigeo Araña'!$O$27:$O$32</c:f>
              <c:numCache>
                <c:formatCode>General</c:formatCode>
                <c:ptCount val="6"/>
                <c:pt idx="0">
                  <c:v>0.88636363636363635</c:v>
                </c:pt>
                <c:pt idx="1">
                  <c:v>0.59736888539204924</c:v>
                </c:pt>
                <c:pt idx="2">
                  <c:v>0.11187906591960289</c:v>
                </c:pt>
                <c:pt idx="3">
                  <c:v>0.74668951550085683</c:v>
                </c:pt>
                <c:pt idx="4">
                  <c:v>0.73333333333333339</c:v>
                </c:pt>
                <c:pt idx="5">
                  <c:v>0.49450673690357133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3-4595-A163-85DE58E1F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FinGPT - Comparison of discrepancies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A5-44C9-8464-048BB78A5269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'[2]Vigeo Araña'!$O$6:$O$11</c:f>
              <c:numCache>
                <c:formatCode>General</c:formatCode>
                <c:ptCount val="6"/>
                <c:pt idx="0">
                  <c:v>10</c:v>
                </c:pt>
                <c:pt idx="1">
                  <c:v>16</c:v>
                </c:pt>
                <c:pt idx="2">
                  <c:v>18</c:v>
                </c:pt>
                <c:pt idx="3">
                  <c:v>14</c:v>
                </c:pt>
                <c:pt idx="4">
                  <c:v>10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5-44C9-8464-048BB78A5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FinGPT - Comparison of deviation Using vs. Not using Vigeo Eiris Context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1"/>
          <c:order val="0"/>
          <c:tx>
            <c:v>Not using Vigeo Eiris</c:v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#REF!</c:f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FC-4A66-A162-B1B0A726A732}"/>
            </c:ext>
          </c:extLst>
        </c:ser>
        <c:ser>
          <c:idx val="0"/>
          <c:order val="1"/>
          <c:tx>
            <c:v>Using Vigeo Eiris</c:v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'[2]Vigeo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'[2]Vigeo Araña'!$O$27:$O$32</c:f>
              <c:numCache>
                <c:formatCode>General</c:formatCode>
                <c:ptCount val="6"/>
                <c:pt idx="0">
                  <c:v>0.4847619208106545</c:v>
                </c:pt>
                <c:pt idx="1">
                  <c:v>0.55411324786324778</c:v>
                </c:pt>
                <c:pt idx="2">
                  <c:v>0.19126843137394964</c:v>
                </c:pt>
                <c:pt idx="3">
                  <c:v>0.27650155239960417</c:v>
                </c:pt>
                <c:pt idx="4">
                  <c:v>0.18456352996973857</c:v>
                </c:pt>
                <c:pt idx="5">
                  <c:v>0.41153513924592527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FC-4A66-A162-B1B0A726A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2</xdr:row>
      <xdr:rowOff>85725</xdr:rowOff>
    </xdr:from>
    <xdr:to>
      <xdr:col>9</xdr:col>
      <xdr:colOff>217004</xdr:colOff>
      <xdr:row>20</xdr:row>
      <xdr:rowOff>171243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76E785-CADB-47A6-8EE5-83D1A0760C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22</xdr:row>
      <xdr:rowOff>161925</xdr:rowOff>
    </xdr:from>
    <xdr:to>
      <xdr:col>9</xdr:col>
      <xdr:colOff>369404</xdr:colOff>
      <xdr:row>41</xdr:row>
      <xdr:rowOff>56943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D7BFD0DA-3A05-4729-A4A1-43C134318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66675</xdr:colOff>
      <xdr:row>2</xdr:row>
      <xdr:rowOff>123825</xdr:rowOff>
    </xdr:from>
    <xdr:to>
      <xdr:col>18</xdr:col>
      <xdr:colOff>417029</xdr:colOff>
      <xdr:row>21</xdr:row>
      <xdr:rowOff>18843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992045F5-6B16-4BBB-ADB6-DBC5FCB98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19050</xdr:colOff>
      <xdr:row>22</xdr:row>
      <xdr:rowOff>152400</xdr:rowOff>
    </xdr:from>
    <xdr:to>
      <xdr:col>18</xdr:col>
      <xdr:colOff>369404</xdr:colOff>
      <xdr:row>41</xdr:row>
      <xdr:rowOff>47418</xdr:rowOff>
    </xdr:to>
    <xdr:graphicFrame macro="">
      <xdr:nvGraphicFramePr>
        <xdr:cNvPr id="11" name="Chart 3">
          <a:extLst>
            <a:ext uri="{FF2B5EF4-FFF2-40B4-BE49-F238E27FC236}">
              <a16:creationId xmlns:a16="http://schemas.microsoft.com/office/drawing/2014/main" id="{FFBAA2BE-9FD4-4B83-85C0-F256B3C93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8</xdr:row>
      <xdr:rowOff>57150</xdr:rowOff>
    </xdr:from>
    <xdr:to>
      <xdr:col>8</xdr:col>
      <xdr:colOff>340829</xdr:colOff>
      <xdr:row>26</xdr:row>
      <xdr:rowOff>142668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849C28-FDC9-41F5-BBB9-D014D288DF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85725</xdr:colOff>
      <xdr:row>8</xdr:row>
      <xdr:rowOff>76200</xdr:rowOff>
    </xdr:from>
    <xdr:to>
      <xdr:col>15</xdr:col>
      <xdr:colOff>740879</xdr:colOff>
      <xdr:row>26</xdr:row>
      <xdr:rowOff>161718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4546654A-1489-45D1-9982-BD3DAD145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5</xdr:row>
      <xdr:rowOff>0</xdr:rowOff>
    </xdr:from>
    <xdr:to>
      <xdr:col>8</xdr:col>
      <xdr:colOff>150329</xdr:colOff>
      <xdr:row>23</xdr:row>
      <xdr:rowOff>85518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354937-B805-412C-98AA-D9E5C7D065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4</xdr:row>
      <xdr:rowOff>38100</xdr:rowOff>
    </xdr:from>
    <xdr:to>
      <xdr:col>15</xdr:col>
      <xdr:colOff>493229</xdr:colOff>
      <xdr:row>22</xdr:row>
      <xdr:rowOff>123618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8365F45-3447-4E7A-B53C-DCDEDF155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repo\bias_audit_LLM-main\03_organic_audit\0.%20Gr&#225;ficos%20Finales\Gr&#225;ficos_organic2_FinGPT_NoContext.xlsx" TargetMode="External"/><Relationship Id="rId1" Type="http://schemas.openxmlformats.org/officeDocument/2006/relationships/externalLinkPath" Target="Gr&#225;ficos_organic2_FinGPT_NoContex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Gr&#225;ficos_organic2_FinGPT_Vigeo.xlsx" TargetMode="External"/><Relationship Id="rId1" Type="http://schemas.openxmlformats.org/officeDocument/2006/relationships/externalLinkPath" Target="Gr&#225;ficos_organic2_FinGPT_Vige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Gr&#225;ficos_organic2_Llama_NoContext.xlsx" TargetMode="External"/><Relationship Id="rId1" Type="http://schemas.openxmlformats.org/officeDocument/2006/relationships/externalLinkPath" Target="Gr&#225;ficos_organic2_Llama_NoContex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organic_2\0.%20Gr&#225;ficos%20Finales\Gr&#225;ficos_organic2_Llama_Vigeo.xlsx" TargetMode="External"/><Relationship Id="rId1" Type="http://schemas.openxmlformats.org/officeDocument/2006/relationships/externalLinkPath" Target="Gr&#225;ficos_organic2_Llama_Vige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10</v>
          </cell>
        </row>
        <row r="7">
          <cell r="N7" t="str">
            <v>Religion-gender</v>
          </cell>
          <cell r="O7">
            <v>16</v>
          </cell>
        </row>
        <row r="8">
          <cell r="N8" t="str">
            <v>Gender</v>
          </cell>
          <cell r="O8">
            <v>18</v>
          </cell>
        </row>
        <row r="9">
          <cell r="N9" t="str">
            <v>Gender-age</v>
          </cell>
          <cell r="O9">
            <v>14</v>
          </cell>
        </row>
        <row r="10">
          <cell r="N10" t="str">
            <v>Age</v>
          </cell>
          <cell r="O10">
            <v>10</v>
          </cell>
        </row>
        <row r="11">
          <cell r="N11" t="str">
            <v>Age-religion</v>
          </cell>
          <cell r="O11">
            <v>17</v>
          </cell>
        </row>
        <row r="27">
          <cell r="N27" t="str">
            <v>Religion</v>
          </cell>
          <cell r="O27">
            <v>0.4847619208106545</v>
          </cell>
        </row>
        <row r="28">
          <cell r="N28" t="str">
            <v>Religion-gender</v>
          </cell>
          <cell r="O28">
            <v>0.55411324786324778</v>
          </cell>
        </row>
        <row r="29">
          <cell r="N29" t="str">
            <v>Gender</v>
          </cell>
          <cell r="O29">
            <v>0.19126843137394964</v>
          </cell>
        </row>
        <row r="30">
          <cell r="N30" t="str">
            <v>Gender-age</v>
          </cell>
          <cell r="O30">
            <v>0.27650155239960417</v>
          </cell>
        </row>
        <row r="31">
          <cell r="N31" t="str">
            <v>Age</v>
          </cell>
          <cell r="O31">
            <v>0.18456352996973857</v>
          </cell>
        </row>
        <row r="32">
          <cell r="N32" t="str">
            <v>Age-religion</v>
          </cell>
          <cell r="O32">
            <v>0.41153513924592527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Context Araña"/>
      <sheetName val="NoContext Individual"/>
      <sheetName val="NoContext Full"/>
    </sheetNames>
    <sheetDataSet>
      <sheetData sheetId="0">
        <row r="6">
          <cell r="N6" t="str">
            <v>Religion</v>
          </cell>
          <cell r="O6">
            <v>52</v>
          </cell>
        </row>
        <row r="7">
          <cell r="N7" t="str">
            <v>Religion-gender</v>
          </cell>
          <cell r="O7">
            <v>49</v>
          </cell>
        </row>
        <row r="8">
          <cell r="N8" t="str">
            <v>Gender</v>
          </cell>
          <cell r="O8">
            <v>44</v>
          </cell>
        </row>
        <row r="9">
          <cell r="N9" t="str">
            <v>Gender-age</v>
          </cell>
          <cell r="O9">
            <v>63</v>
          </cell>
        </row>
        <row r="10">
          <cell r="N10" t="str">
            <v>Age</v>
          </cell>
          <cell r="O10">
            <v>56</v>
          </cell>
        </row>
        <row r="11">
          <cell r="N11" t="str">
            <v>Age-religion</v>
          </cell>
          <cell r="O11">
            <v>91</v>
          </cell>
        </row>
        <row r="27">
          <cell r="N27" t="str">
            <v>Religion</v>
          </cell>
          <cell r="O27">
            <v>0.57564359564051248</v>
          </cell>
        </row>
        <row r="28">
          <cell r="N28" t="str">
            <v>Religion-gender</v>
          </cell>
          <cell r="O28">
            <v>0.56440566236484591</v>
          </cell>
        </row>
        <row r="29">
          <cell r="N29" t="str">
            <v>Gender</v>
          </cell>
          <cell r="O29">
            <v>0.43372005093099519</v>
          </cell>
        </row>
        <row r="30">
          <cell r="N30" t="str">
            <v>Gender-age</v>
          </cell>
          <cell r="O30">
            <v>0.4271907554635393</v>
          </cell>
        </row>
        <row r="31">
          <cell r="N31" t="str">
            <v>Age</v>
          </cell>
          <cell r="O31">
            <v>0.35904587480631378</v>
          </cell>
        </row>
        <row r="32">
          <cell r="N32" t="str">
            <v>Age-religion</v>
          </cell>
          <cell r="O32">
            <v>0.53763685460518051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geo Araña"/>
      <sheetName val="Vigeo Individual"/>
      <sheetName val="Vigeo Full"/>
    </sheetNames>
    <sheetDataSet>
      <sheetData sheetId="0">
        <row r="6">
          <cell r="N6" t="str">
            <v>Religion</v>
          </cell>
          <cell r="O6">
            <v>8</v>
          </cell>
        </row>
        <row r="7">
          <cell r="N7" t="str">
            <v>Religion-gender</v>
          </cell>
          <cell r="O7">
            <v>7</v>
          </cell>
        </row>
        <row r="8">
          <cell r="N8" t="str">
            <v>Gender</v>
          </cell>
          <cell r="O8">
            <v>4</v>
          </cell>
        </row>
        <row r="9">
          <cell r="N9" t="str">
            <v>Gender-age</v>
          </cell>
          <cell r="O9">
            <v>7</v>
          </cell>
        </row>
        <row r="10">
          <cell r="N10" t="str">
            <v>Age</v>
          </cell>
          <cell r="O10">
            <v>3</v>
          </cell>
        </row>
        <row r="11">
          <cell r="N11" t="str">
            <v>Age-religion</v>
          </cell>
          <cell r="O11">
            <v>7</v>
          </cell>
        </row>
        <row r="27">
          <cell r="N27" t="str">
            <v>Religion</v>
          </cell>
          <cell r="O27">
            <v>0.88636363636363635</v>
          </cell>
        </row>
        <row r="28">
          <cell r="N28" t="str">
            <v>Religion-gender</v>
          </cell>
          <cell r="O28">
            <v>0.59736888539204924</v>
          </cell>
        </row>
        <row r="29">
          <cell r="N29" t="str">
            <v>Gender</v>
          </cell>
          <cell r="O29">
            <v>0.11187906591960289</v>
          </cell>
        </row>
        <row r="30">
          <cell r="N30" t="str">
            <v>Gender-age</v>
          </cell>
          <cell r="O30">
            <v>0.74668951550085683</v>
          </cell>
        </row>
        <row r="31">
          <cell r="N31" t="str">
            <v>Age</v>
          </cell>
          <cell r="O31">
            <v>0.73333333333333339</v>
          </cell>
        </row>
        <row r="32">
          <cell r="N32" t="str">
            <v>Age-religion</v>
          </cell>
          <cell r="O32">
            <v>0.49450673690357133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50"/>
  <sheetViews>
    <sheetView tabSelected="1" workbookViewId="0">
      <selection activeCell="X18" sqref="X18"/>
    </sheetView>
  </sheetViews>
  <sheetFormatPr baseColWidth="10" defaultColWidth="9.140625" defaultRowHeight="15" x14ac:dyDescent="0.25"/>
  <sheetData>
    <row r="2" spans="4:14" x14ac:dyDescent="0.25">
      <c r="D2" t="s">
        <v>0</v>
      </c>
      <c r="N2" t="s">
        <v>1</v>
      </c>
    </row>
    <row r="44" spans="2:17" x14ac:dyDescent="0.25">
      <c r="C44" t="s">
        <v>2</v>
      </c>
      <c r="F44" t="s">
        <v>3</v>
      </c>
      <c r="M44" t="s">
        <v>2</v>
      </c>
      <c r="P44" t="s">
        <v>3</v>
      </c>
    </row>
    <row r="45" spans="2:17" x14ac:dyDescent="0.25">
      <c r="B45" t="str" cm="1">
        <f t="array" ref="B45:B50">'[3]NoContext Araña'!$N$27:$N$32</f>
        <v>Religion</v>
      </c>
      <c r="C45" cm="1">
        <f t="array" ref="C45:C50">'[3]NoContext Araña'!$O$27:$O$32</f>
        <v>0.57564359564051248</v>
      </c>
      <c r="D45" s="1">
        <f>C45/2</f>
        <v>0.28782179782025624</v>
      </c>
      <c r="F45" t="e" cm="1">
        <f t="array" ref="F45">#REF!</f>
        <v>#REF!</v>
      </c>
      <c r="G45" s="1" t="e">
        <f>F45/2</f>
        <v>#REF!</v>
      </c>
      <c r="M45" cm="1">
        <f t="array" ref="M45:M50">'[4]Vigeo Araña'!$O$27:$O$32</f>
        <v>0.88636363636363635</v>
      </c>
      <c r="N45" s="1">
        <f>M45/2</f>
        <v>0.44318181818181818</v>
      </c>
      <c r="P45" cm="1">
        <f t="array" ref="P45:P50">'[2]Vigeo Araña'!$O$27:$O$32</f>
        <v>0.4847619208106545</v>
      </c>
      <c r="Q45" s="1">
        <f>P45/2</f>
        <v>0.24238096040532725</v>
      </c>
    </row>
    <row r="46" spans="2:17" x14ac:dyDescent="0.25">
      <c r="B46" t="str">
        <v>Religion-gender</v>
      </c>
      <c r="C46">
        <v>0.56440566236484591</v>
      </c>
      <c r="D46" s="1">
        <f t="shared" ref="D46:D50" si="0">C46/2</f>
        <v>0.28220283118242295</v>
      </c>
      <c r="G46" s="1">
        <f t="shared" ref="G46:G50" si="1">F46/2</f>
        <v>0</v>
      </c>
      <c r="M46">
        <v>0.59736888539204924</v>
      </c>
      <c r="N46" s="1">
        <f t="shared" ref="N46:N50" si="2">M46/2</f>
        <v>0.29868444269602462</v>
      </c>
      <c r="P46">
        <v>0.55411324786324778</v>
      </c>
      <c r="Q46" s="1">
        <f t="shared" ref="Q46:Q50" si="3">P46/2</f>
        <v>0.27705662393162389</v>
      </c>
    </row>
    <row r="47" spans="2:17" x14ac:dyDescent="0.25">
      <c r="B47" t="str">
        <v>Gender</v>
      </c>
      <c r="C47">
        <v>0.43372005093099519</v>
      </c>
      <c r="D47" s="1">
        <f t="shared" si="0"/>
        <v>0.2168600254654976</v>
      </c>
      <c r="G47" s="1">
        <f t="shared" si="1"/>
        <v>0</v>
      </c>
      <c r="M47">
        <v>0.11187906591960289</v>
      </c>
      <c r="N47" s="1">
        <f t="shared" si="2"/>
        <v>5.5939532959801447E-2</v>
      </c>
      <c r="P47">
        <v>0.19126843137394964</v>
      </c>
      <c r="Q47" s="1">
        <f t="shared" si="3"/>
        <v>9.5634215686974819E-2</v>
      </c>
    </row>
    <row r="48" spans="2:17" x14ac:dyDescent="0.25">
      <c r="B48" t="str">
        <v>Gender-age</v>
      </c>
      <c r="C48">
        <v>0.4271907554635393</v>
      </c>
      <c r="D48" s="1">
        <f t="shared" si="0"/>
        <v>0.21359537773176965</v>
      </c>
      <c r="G48" s="1">
        <f t="shared" si="1"/>
        <v>0</v>
      </c>
      <c r="M48">
        <v>0.74668951550085683</v>
      </c>
      <c r="N48" s="1">
        <f t="shared" si="2"/>
        <v>0.37334475775042841</v>
      </c>
      <c r="P48">
        <v>0.27650155239960417</v>
      </c>
      <c r="Q48" s="1">
        <f t="shared" si="3"/>
        <v>0.13825077619980208</v>
      </c>
    </row>
    <row r="49" spans="2:17" x14ac:dyDescent="0.25">
      <c r="B49" t="str">
        <v>Age</v>
      </c>
      <c r="C49">
        <v>0.35904587480631378</v>
      </c>
      <c r="D49" s="1">
        <f t="shared" si="0"/>
        <v>0.17952293740315689</v>
      </c>
      <c r="G49" s="1">
        <f t="shared" si="1"/>
        <v>0</v>
      </c>
      <c r="M49">
        <v>0.73333333333333339</v>
      </c>
      <c r="N49" s="1">
        <f t="shared" si="2"/>
        <v>0.3666666666666667</v>
      </c>
      <c r="P49">
        <v>0.18456352996973857</v>
      </c>
      <c r="Q49" s="1">
        <f t="shared" si="3"/>
        <v>9.2281764984869286E-2</v>
      </c>
    </row>
    <row r="50" spans="2:17" x14ac:dyDescent="0.25">
      <c r="B50" t="str">
        <v>Age-religion</v>
      </c>
      <c r="C50">
        <v>0.53763685460518051</v>
      </c>
      <c r="D50" s="1">
        <f t="shared" si="0"/>
        <v>0.26881842730259026</v>
      </c>
      <c r="G50" s="1">
        <f t="shared" si="1"/>
        <v>0</v>
      </c>
      <c r="M50">
        <v>0.49450673690357133</v>
      </c>
      <c r="N50" s="1">
        <f t="shared" si="2"/>
        <v>0.24725336845178567</v>
      </c>
      <c r="P50">
        <v>0.41153513924592527</v>
      </c>
      <c r="Q50" s="1">
        <f t="shared" si="3"/>
        <v>0.20576756962296264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6541-3EA6-43A7-862F-55234C83F1C6}">
  <dimension ref="A1"/>
  <sheetViews>
    <sheetView workbookViewId="0">
      <selection activeCell="H29" sqref="H2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2983-FF52-4B20-8E40-AF6FE52BA36D}">
  <dimension ref="A1"/>
  <sheetViews>
    <sheetView workbookViewId="0">
      <selection activeCell="M26" sqref="M2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FinGPT vs Llama</vt:lpstr>
      <vt:lpstr>Llama NoContext vs Vigeo</vt:lpstr>
      <vt:lpstr>FinGPT NoContext vs Vigeo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2015-06-05T18:19:34Z</dcterms:created>
  <dcterms:modified xsi:type="dcterms:W3CDTF">2026-06-12T08:09:58Z</dcterms:modified>
</cp:coreProperties>
</file>