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sanchez\Downloads\repo\bias_audit_LLM-main\03_organic_audit\0. Gráficos Finales\0. Sincero\"/>
    </mc:Choice>
  </mc:AlternateContent>
  <xr:revisionPtr revIDLastSave="0" documentId="13_ncr:1_{9432E47B-8D71-4463-AA32-C2A6DCC558A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NoContext Araña" sheetId="1" r:id="rId1"/>
    <sheet name="NoContext Individual" sheetId="2" r:id="rId2"/>
    <sheet name="NoContext Full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3" l="1"/>
  <c r="C12" i="3"/>
  <c r="C11" i="3"/>
  <c r="C5" i="3"/>
  <c r="C4" i="3"/>
  <c r="C3" i="3"/>
  <c r="W13" i="2"/>
  <c r="W12" i="2"/>
  <c r="W11" i="2"/>
  <c r="W10" i="2"/>
  <c r="W9" i="2"/>
  <c r="W8" i="2"/>
  <c r="W7" i="2"/>
  <c r="W6" i="2"/>
  <c r="W4" i="2"/>
  <c r="W5" i="2"/>
  <c r="W3" i="2"/>
  <c r="W2" i="2"/>
  <c r="T12" i="2"/>
  <c r="T10" i="2"/>
  <c r="T8" i="2"/>
  <c r="T6" i="2"/>
  <c r="T4" i="2"/>
  <c r="T2" i="2"/>
  <c r="D14" i="2"/>
  <c r="D13" i="2"/>
  <c r="D12" i="2"/>
  <c r="D11" i="2"/>
  <c r="D10" i="2"/>
  <c r="D9" i="2"/>
  <c r="D8" i="2"/>
  <c r="D7" i="2"/>
  <c r="D6" i="2"/>
  <c r="D5" i="2"/>
  <c r="D4" i="2"/>
  <c r="D3" i="2"/>
  <c r="O11" i="1"/>
  <c r="O10" i="1"/>
  <c r="O9" i="1"/>
  <c r="O8" i="1"/>
  <c r="O7" i="1"/>
  <c r="O6" i="1"/>
  <c r="O32" i="1" l="1"/>
  <c r="O31" i="1"/>
  <c r="O30" i="1"/>
  <c r="O29" i="1"/>
  <c r="O28" i="1"/>
  <c r="O27" i="1"/>
  <c r="F4" i="2" l="1"/>
  <c r="D30" i="2" s="1"/>
  <c r="F14" i="2"/>
  <c r="D40" i="2" s="1"/>
  <c r="F12" i="2"/>
  <c r="F10" i="2"/>
  <c r="D36" i="2" s="1"/>
  <c r="F6" i="2"/>
  <c r="D31" i="2" s="1"/>
  <c r="F8" i="2"/>
  <c r="D34" i="2" s="1"/>
  <c r="A5" i="2"/>
  <c r="A13" i="2"/>
  <c r="A11" i="2"/>
  <c r="A9" i="2"/>
  <c r="D37" i="2" l="1"/>
  <c r="D38" i="2"/>
  <c r="D33" i="2"/>
  <c r="D35" i="2"/>
  <c r="D32" i="2"/>
  <c r="D39" i="2"/>
  <c r="D29" i="2"/>
  <c r="A3" i="2"/>
  <c r="A7" i="2"/>
</calcChain>
</file>

<file path=xl/sharedStrings.xml><?xml version="1.0" encoding="utf-8"?>
<sst xmlns="http://schemas.openxmlformats.org/spreadsheetml/2006/main" count="74" uniqueCount="23">
  <si>
    <t>Religion</t>
  </si>
  <si>
    <t>Age</t>
  </si>
  <si>
    <t>Age-religion</t>
  </si>
  <si>
    <t>Christian</t>
  </si>
  <si>
    <t>Muslim</t>
  </si>
  <si>
    <t>Christian Woman</t>
  </si>
  <si>
    <t>Muslim Man</t>
  </si>
  <si>
    <t>Man</t>
  </si>
  <si>
    <t>Woman</t>
  </si>
  <si>
    <t>25-yo Man</t>
  </si>
  <si>
    <t>60-yo Woman</t>
  </si>
  <si>
    <t>25-yo</t>
  </si>
  <si>
    <t>60-yo</t>
  </si>
  <si>
    <t>25-yo Muslim</t>
  </si>
  <si>
    <t>60-yo Christian</t>
  </si>
  <si>
    <t>Young Muslim Man</t>
  </si>
  <si>
    <t>Old Christian Woman</t>
  </si>
  <si>
    <t>Total</t>
  </si>
  <si>
    <t>Gender-age</t>
  </si>
  <si>
    <t>Religion-gender</t>
  </si>
  <si>
    <t>Gender</t>
  </si>
  <si>
    <t>Discrepancies</t>
  </si>
  <si>
    <t>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</si>
</sst>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164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Number</a:t>
            </a:r>
            <a:r>
              <a:rPr lang="es-ES" b="1" baseline="0"/>
              <a:t> of discrepancies by Bias without using Vigeo Eiris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50800" cap="rnd" cmpd="sng" algn="ctr">
              <a:solidFill>
                <a:schemeClr val="accent1">
                  <a:alpha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'NoContext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'NoContext Araña'!$O$6:$O$11</c:f>
              <c:numCache>
                <c:formatCode>General</c:formatCode>
                <c:ptCount val="6"/>
                <c:pt idx="0">
                  <c:v>26</c:v>
                </c:pt>
                <c:pt idx="1">
                  <c:v>31</c:v>
                </c:pt>
                <c:pt idx="2">
                  <c:v>16</c:v>
                </c:pt>
                <c:pt idx="3">
                  <c:v>280</c:v>
                </c:pt>
                <c:pt idx="4">
                  <c:v>284</c:v>
                </c:pt>
                <c:pt idx="5">
                  <c:v>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A4-49FD-AA22-803B10586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Deviation</a:t>
            </a:r>
            <a:r>
              <a:rPr lang="es-ES" b="1" baseline="0"/>
              <a:t> by Bias without using Vigeo Eiris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50800" cap="rnd" cmpd="sng" algn="ctr">
              <a:solidFill>
                <a:schemeClr val="accent1">
                  <a:alpha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'NoContext Araña'!$N$27:$N$32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'NoContext Araña'!$O$27:$O$32</c:f>
              <c:numCache>
                <c:formatCode>0%</c:formatCode>
                <c:ptCount val="6"/>
                <c:pt idx="0">
                  <c:v>0.19518072277839454</c:v>
                </c:pt>
                <c:pt idx="1">
                  <c:v>0.1917733796534099</c:v>
                </c:pt>
                <c:pt idx="2">
                  <c:v>0.13219419424020462</c:v>
                </c:pt>
                <c:pt idx="3">
                  <c:v>0.17394192785941109</c:v>
                </c:pt>
                <c:pt idx="4">
                  <c:v>0.17485394324213238</c:v>
                </c:pt>
                <c:pt idx="5">
                  <c:v>0.17203380819059153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E7-4D29-B9A2-3986E700D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Bias discrepancies Asymmetry without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536C-46EA-9BE8-17036F0464F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50800" dist="50800" dir="5400000" algn="ctr" rotWithShape="0">
                  <a:schemeClr val="bg1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36C-46EA-9BE8-17036F0464F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536C-46EA-9BE8-17036F0464F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536C-46EA-9BE8-17036F0464FE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536C-46EA-9BE8-17036F0464FE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536C-46EA-9BE8-17036F0464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'NoContext Individual'!$B$3:$C$14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'NoContext Individual'!$D$3:$D$14</c:f>
              <c:numCache>
                <c:formatCode>General</c:formatCode>
                <c:ptCount val="12"/>
                <c:pt idx="0">
                  <c:v>18</c:v>
                </c:pt>
                <c:pt idx="1">
                  <c:v>8</c:v>
                </c:pt>
                <c:pt idx="2">
                  <c:v>19</c:v>
                </c:pt>
                <c:pt idx="3">
                  <c:v>12</c:v>
                </c:pt>
                <c:pt idx="4">
                  <c:v>8</c:v>
                </c:pt>
                <c:pt idx="5">
                  <c:v>8</c:v>
                </c:pt>
                <c:pt idx="6">
                  <c:v>148</c:v>
                </c:pt>
                <c:pt idx="7">
                  <c:v>132</c:v>
                </c:pt>
                <c:pt idx="8">
                  <c:v>150</c:v>
                </c:pt>
                <c:pt idx="9">
                  <c:v>134</c:v>
                </c:pt>
                <c:pt idx="10">
                  <c:v>128</c:v>
                </c:pt>
                <c:pt idx="11">
                  <c:v>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6C-46EA-9BE8-17036F0464F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Bias discrepancies Asymmetry without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8CE-4804-9709-EF2423D552C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8CE-4804-9709-EF2423D552C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08CE-4804-9709-EF2423D552C4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08CE-4804-9709-EF2423D552C4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08CE-4804-9709-EF2423D552C4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08CE-4804-9709-EF2423D552C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'NoContext Individual'!$B$29:$C$40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'NoContext Individual'!$D$29:$D$40</c:f>
              <c:numCache>
                <c:formatCode>0%</c:formatCode>
                <c:ptCount val="12"/>
                <c:pt idx="0">
                  <c:v>0.69230769230769229</c:v>
                </c:pt>
                <c:pt idx="1">
                  <c:v>0.30769230769230771</c:v>
                </c:pt>
                <c:pt idx="2">
                  <c:v>0.61290322580645162</c:v>
                </c:pt>
                <c:pt idx="3">
                  <c:v>0.38709677419354838</c:v>
                </c:pt>
                <c:pt idx="4">
                  <c:v>0.5</c:v>
                </c:pt>
                <c:pt idx="5">
                  <c:v>0.5</c:v>
                </c:pt>
                <c:pt idx="6">
                  <c:v>0.52857142857142858</c:v>
                </c:pt>
                <c:pt idx="7">
                  <c:v>0.47142857142857142</c:v>
                </c:pt>
                <c:pt idx="8">
                  <c:v>0.528169014084507</c:v>
                </c:pt>
                <c:pt idx="9">
                  <c:v>0.47183098591549294</c:v>
                </c:pt>
                <c:pt idx="10">
                  <c:v>0.46545454545454545</c:v>
                </c:pt>
                <c:pt idx="11">
                  <c:v>0.53454545454545455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8CE-4804-9709-EF2423D552C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>
                <a:effectLst/>
              </a:rPr>
              <a:t>Deviation for each Bias without using Vigeo Eiris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6A9-426B-904C-35E266E5433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6A9-426B-904C-35E266E54338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6A9-426B-904C-35E266E54338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6A9-426B-904C-35E266E54338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6A9-426B-904C-35E266E54338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4BE3-490E-9015-ACB65A349CF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'NoContext Individual'!$U$2:$V$13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'NoContext Individual'!$W$2:$W$13</c:f>
              <c:numCache>
                <c:formatCode>0.0%</c:formatCode>
                <c:ptCount val="12"/>
                <c:pt idx="0">
                  <c:v>0.22155434467277019</c:v>
                </c:pt>
                <c:pt idx="1">
                  <c:v>0.13584007351604921</c:v>
                </c:pt>
                <c:pt idx="2">
                  <c:v>0.22406678733960186</c:v>
                </c:pt>
                <c:pt idx="3">
                  <c:v>0.14064215081693918</c:v>
                </c:pt>
                <c:pt idx="4">
                  <c:v>0.11188813606385294</c:v>
                </c:pt>
                <c:pt idx="5">
                  <c:v>0.15250025241655638</c:v>
                </c:pt>
                <c:pt idx="6">
                  <c:v>0.21931276195982033</c:v>
                </c:pt>
                <c:pt idx="7">
                  <c:v>0.12307159871652625</c:v>
                </c:pt>
                <c:pt idx="8">
                  <c:v>0.22010576351752781</c:v>
                </c:pt>
                <c:pt idx="9">
                  <c:v>0.12419892054579261</c:v>
                </c:pt>
                <c:pt idx="10">
                  <c:v>0.22853860294117598</c:v>
                </c:pt>
                <c:pt idx="11">
                  <c:v>0.12283235425810859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6A9-426B-904C-35E266E5433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Religion/Age/Gender</a:t>
            </a:r>
            <a:r>
              <a:rPr lang="es-ES" baseline="0"/>
              <a:t> Bias Aggregation - % Higher Risk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2B9-4F4E-8028-9859241CD5F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2B9-4F4E-8028-9859241CD5F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'NoContext Full'!$B$4:$B$5</c:f>
              <c:strCache>
                <c:ptCount val="2"/>
                <c:pt idx="0">
                  <c:v>Young Muslim Man</c:v>
                </c:pt>
                <c:pt idx="1">
                  <c:v>Old Christian Woman</c:v>
                </c:pt>
              </c:strCache>
            </c:strRef>
          </c:cat>
          <c:val>
            <c:numRef>
              <c:f>'NoContext Full'!$C$4:$C$5</c:f>
              <c:numCache>
                <c:formatCode>General</c:formatCode>
                <c:ptCount val="2"/>
                <c:pt idx="0">
                  <c:v>128</c:v>
                </c:pt>
                <c:pt idx="1">
                  <c:v>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DD-4012-A409-4028B563D73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effectLst/>
              </a:rPr>
              <a:t>Deviation for each Bias without using Vigeo Eiris</a:t>
            </a:r>
            <a:endParaRPr lang="es-ES" sz="1800" b="1" i="0" u="none" strike="noStrike" kern="1200" baseline="0">
              <a:solidFill>
                <a:sysClr val="windowText" lastClr="000000">
                  <a:lumMod val="75000"/>
                  <a:lumOff val="2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87C0-446A-9FD0-0BDE904D1CC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'NoContext Full'!$B$12:$B$13</c:f>
              <c:strCache>
                <c:ptCount val="2"/>
                <c:pt idx="0">
                  <c:v>Young Muslim Man</c:v>
                </c:pt>
                <c:pt idx="1">
                  <c:v>Old Christian Woman</c:v>
                </c:pt>
              </c:strCache>
            </c:strRef>
          </c:cat>
          <c:val>
            <c:numRef>
              <c:f>'NoContext Full'!$C$12:$C$13</c:f>
              <c:numCache>
                <c:formatCode>0%</c:formatCode>
                <c:ptCount val="2"/>
                <c:pt idx="0">
                  <c:v>0.22831777597402547</c:v>
                </c:pt>
                <c:pt idx="1">
                  <c:v>0.12301558785692451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C0-446A-9FD0-0BDE904D1CC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935988367"/>
        <c:axId val="935990287"/>
      </c:barChart>
      <c:catAx>
        <c:axId val="935988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35990287"/>
        <c:crosses val="autoZero"/>
        <c:auto val="1"/>
        <c:lblAlgn val="ctr"/>
        <c:lblOffset val="100"/>
        <c:noMultiLvlLbl val="0"/>
      </c:catAx>
      <c:valAx>
        <c:axId val="9359902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935988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517664</xdr:colOff>
      <xdr:row>2</xdr:row>
      <xdr:rowOff>13874</xdr:rowOff>
    </xdr:from>
    <xdr:to>
      <xdr:col>12</xdr:col>
      <xdr:colOff>228600</xdr:colOff>
      <xdr:row>20</xdr:row>
      <xdr:rowOff>99392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0E49E7-E5EC-A908-004F-1A830FCF39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488675</xdr:colOff>
      <xdr:row>22</xdr:row>
      <xdr:rowOff>91109</xdr:rowOff>
    </xdr:from>
    <xdr:to>
      <xdr:col>12</xdr:col>
      <xdr:colOff>199611</xdr:colOff>
      <xdr:row>40</xdr:row>
      <xdr:rowOff>176627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5B64021B-FC35-433F-A33D-B6F5EA8A78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557211</xdr:colOff>
      <xdr:row>0</xdr:row>
      <xdr:rowOff>90486</xdr:rowOff>
    </xdr:from>
    <xdr:to>
      <xdr:col>17</xdr:col>
      <xdr:colOff>561974</xdr:colOff>
      <xdr:row>24</xdr:row>
      <xdr:rowOff>19049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5E5D36-2F97-CF84-E905-BB63EF3D2B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552449</xdr:colOff>
      <xdr:row>25</xdr:row>
      <xdr:rowOff>66675</xdr:rowOff>
    </xdr:from>
    <xdr:to>
      <xdr:col>18</xdr:col>
      <xdr:colOff>28574</xdr:colOff>
      <xdr:row>45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FC3644-0B47-45B6-A75C-35D8BB4C0C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352425</xdr:colOff>
      <xdr:row>14</xdr:row>
      <xdr:rowOff>76200</xdr:rowOff>
    </xdr:from>
    <xdr:to>
      <xdr:col>28</xdr:col>
      <xdr:colOff>80963</xdr:colOff>
      <xdr:row>38</xdr:row>
      <xdr:rowOff>4763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5993CE97-2324-4714-9211-B8FFA19A54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23811</xdr:colOff>
      <xdr:row>2</xdr:row>
      <xdr:rowOff>4762</xdr:rowOff>
    </xdr:from>
    <xdr:to>
      <xdr:col>9</xdr:col>
      <xdr:colOff>215811</xdr:colOff>
      <xdr:row>19</xdr:row>
      <xdr:rowOff>6262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240251-0E7E-3FDE-EA93-107EFCF083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314325</xdr:colOff>
      <xdr:row>2</xdr:row>
      <xdr:rowOff>4762</xdr:rowOff>
    </xdr:from>
    <xdr:to>
      <xdr:col>18</xdr:col>
      <xdr:colOff>571500</xdr:colOff>
      <xdr:row>19</xdr:row>
      <xdr:rowOff>57150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05B0230-1B16-2C1F-80EB-8E63D79160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organic_2/0.%20sincero/FinGPT/No%20Context/FinGPT_religion.xlsx" TargetMode="External"/><Relationship Id="rId1" Type="http://schemas.openxmlformats.org/officeDocument/2006/relationships/externalLinkPath" Target="/Users/jsanchez/Downloads/organic_2/0.%20sincero/FinGPT/No%20Context/FinGPT_religion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organic_2/0.%20sincero/FinGPT/No%20Context/FinGPT_religion_gender.xlsx" TargetMode="External"/><Relationship Id="rId1" Type="http://schemas.openxmlformats.org/officeDocument/2006/relationships/externalLinkPath" Target="/Users/jsanchez/Downloads/organic_2/0.%20sincero/FinGPT/No%20Context/FinGPT_religion_gender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organic_2/0.%20sincero/FinGPT/No%20Context/FinGPT_gender.xlsx" TargetMode="External"/><Relationship Id="rId1" Type="http://schemas.openxmlformats.org/officeDocument/2006/relationships/externalLinkPath" Target="/Users/jsanchez/Downloads/organic_2/0.%20sincero/FinGPT/No%20Context/FinGPT_gender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organic_2/0.%20sincero/FinGPT/No%20Context/FinGPT_age_gender.xlsx" TargetMode="External"/><Relationship Id="rId1" Type="http://schemas.openxmlformats.org/officeDocument/2006/relationships/externalLinkPath" Target="/Users/jsanchez/Downloads/organic_2/0.%20sincero/FinGPT/No%20Context/FinGPT_age_gender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organic_2/0.%20sincero/FinGPT/No%20Context/FinGPT_age.xlsx" TargetMode="External"/><Relationship Id="rId1" Type="http://schemas.openxmlformats.org/officeDocument/2006/relationships/externalLinkPath" Target="/Users/jsanchez/Downloads/organic_2/0.%20sincero/FinGPT/No%20Context/FinGPT_age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organic_2/0.%20sincero/FinGPT/No%20Context/FinGPT_age_religion.xlsx" TargetMode="External"/><Relationship Id="rId1" Type="http://schemas.openxmlformats.org/officeDocument/2006/relationships/externalLinkPath" Target="/Users/jsanchez/Downloads/organic_2/0.%20sincero/FinGPT/No%20Context/FinGPT_age_religion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organic_2/0.%20sincero/FinGPT/No%20Context/FinGPT_full.xlsx" TargetMode="External"/><Relationship Id="rId1" Type="http://schemas.openxmlformats.org/officeDocument/2006/relationships/externalLinkPath" Target="/Users/jsanchez/Downloads/organic_2/0.%20sincero/FinGPT/No%20Context/FinGPT_fu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J5">
            <v>26</v>
          </cell>
          <cell r="P5">
            <v>0.19518072277839454</v>
          </cell>
        </row>
        <row r="8">
          <cell r="J8">
            <v>18</v>
          </cell>
          <cell r="M8">
            <v>0.22155434467277019</v>
          </cell>
        </row>
        <row r="10">
          <cell r="J10">
            <v>8</v>
          </cell>
          <cell r="M10">
            <v>0.13584007351604921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J5">
            <v>31</v>
          </cell>
          <cell r="P5">
            <v>0.1917733796534099</v>
          </cell>
        </row>
        <row r="8">
          <cell r="J8">
            <v>19</v>
          </cell>
          <cell r="M8">
            <v>0.22406678733960186</v>
          </cell>
        </row>
        <row r="10">
          <cell r="J10">
            <v>12</v>
          </cell>
          <cell r="M10">
            <v>0.14064215081693918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J5">
            <v>16</v>
          </cell>
          <cell r="P5">
            <v>0.13219419424020462</v>
          </cell>
        </row>
        <row r="8">
          <cell r="J8">
            <v>8</v>
          </cell>
          <cell r="M8">
            <v>0.11188813606385294</v>
          </cell>
        </row>
        <row r="10">
          <cell r="J10">
            <v>8</v>
          </cell>
          <cell r="M10">
            <v>0.15250025241655638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J5">
            <v>280</v>
          </cell>
          <cell r="P5">
            <v>0.17394192785941109</v>
          </cell>
        </row>
        <row r="8">
          <cell r="J8">
            <v>148</v>
          </cell>
          <cell r="M8">
            <v>0.21931276195982033</v>
          </cell>
        </row>
        <row r="10">
          <cell r="J10">
            <v>132</v>
          </cell>
          <cell r="M10">
            <v>0.12307159871652625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J5">
            <v>284</v>
          </cell>
          <cell r="P5">
            <v>0.17485394324213238</v>
          </cell>
        </row>
        <row r="8">
          <cell r="J8">
            <v>150</v>
          </cell>
          <cell r="M8">
            <v>0.22010576351752781</v>
          </cell>
        </row>
        <row r="10">
          <cell r="J10">
            <v>134</v>
          </cell>
          <cell r="M10">
            <v>0.12419892054579261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J5">
            <v>275</v>
          </cell>
          <cell r="P5">
            <v>0.17203380819059153</v>
          </cell>
        </row>
        <row r="8">
          <cell r="J8">
            <v>128</v>
          </cell>
          <cell r="M8">
            <v>0.22853860294117598</v>
          </cell>
        </row>
        <row r="10">
          <cell r="J10">
            <v>147</v>
          </cell>
          <cell r="M10">
            <v>0.12283235425810859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J5">
            <v>271</v>
          </cell>
          <cell r="P5">
            <v>0.17275241471666292</v>
          </cell>
        </row>
        <row r="8">
          <cell r="J8">
            <v>128</v>
          </cell>
          <cell r="M8">
            <v>0.22831777597402547</v>
          </cell>
        </row>
        <row r="10">
          <cell r="J10">
            <v>143</v>
          </cell>
          <cell r="M10">
            <v>0.12301558785692451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N6:O32"/>
  <sheetViews>
    <sheetView zoomScale="115" zoomScaleNormal="115" workbookViewId="0">
      <selection activeCell="O18" sqref="O18"/>
    </sheetView>
  </sheetViews>
  <sheetFormatPr baseColWidth="10" defaultColWidth="9.140625" defaultRowHeight="15" x14ac:dyDescent="0.25"/>
  <cols>
    <col min="14" max="14" width="16" customWidth="1"/>
  </cols>
  <sheetData>
    <row r="6" spans="14:15" x14ac:dyDescent="0.25">
      <c r="N6" t="s">
        <v>0</v>
      </c>
      <c r="O6">
        <f>[1]Sheet1!$J$5</f>
        <v>26</v>
      </c>
    </row>
    <row r="7" spans="14:15" x14ac:dyDescent="0.25">
      <c r="N7" t="s">
        <v>19</v>
      </c>
      <c r="O7">
        <f>[2]Sheet1!$J$5</f>
        <v>31</v>
      </c>
    </row>
    <row r="8" spans="14:15" x14ac:dyDescent="0.25">
      <c r="N8" t="s">
        <v>20</v>
      </c>
      <c r="O8">
        <f>[3]Sheet1!$J$5</f>
        <v>16</v>
      </c>
    </row>
    <row r="9" spans="14:15" x14ac:dyDescent="0.25">
      <c r="N9" t="s">
        <v>18</v>
      </c>
      <c r="O9">
        <f>[4]Sheet1!$J$5</f>
        <v>280</v>
      </c>
    </row>
    <row r="10" spans="14:15" x14ac:dyDescent="0.25">
      <c r="N10" t="s">
        <v>1</v>
      </c>
      <c r="O10">
        <f>[5]Sheet1!$J$5</f>
        <v>284</v>
      </c>
    </row>
    <row r="11" spans="14:15" x14ac:dyDescent="0.25">
      <c r="N11" t="s">
        <v>2</v>
      </c>
      <c r="O11">
        <f>[6]Sheet1!$J$5</f>
        <v>275</v>
      </c>
    </row>
    <row r="27" spans="14:15" x14ac:dyDescent="0.25">
      <c r="N27" t="s">
        <v>0</v>
      </c>
      <c r="O27" s="1">
        <f>'NoContext Individual'!T2</f>
        <v>0.19518072277839454</v>
      </c>
    </row>
    <row r="28" spans="14:15" x14ac:dyDescent="0.25">
      <c r="N28" t="s">
        <v>19</v>
      </c>
      <c r="O28" s="1">
        <f>'NoContext Individual'!T4</f>
        <v>0.1917733796534099</v>
      </c>
    </row>
    <row r="29" spans="14:15" x14ac:dyDescent="0.25">
      <c r="N29" t="s">
        <v>20</v>
      </c>
      <c r="O29" s="1">
        <f>'NoContext Individual'!T6</f>
        <v>0.13219419424020462</v>
      </c>
    </row>
    <row r="30" spans="14:15" x14ac:dyDescent="0.25">
      <c r="N30" t="s">
        <v>18</v>
      </c>
      <c r="O30" s="1">
        <f>'NoContext Individual'!T8</f>
        <v>0.17394192785941109</v>
      </c>
    </row>
    <row r="31" spans="14:15" x14ac:dyDescent="0.25">
      <c r="N31" t="s">
        <v>1</v>
      </c>
      <c r="O31" s="1">
        <f>'NoContext Individual'!T10</f>
        <v>0.17485394324213238</v>
      </c>
    </row>
    <row r="32" spans="14:15" x14ac:dyDescent="0.25">
      <c r="N32" t="s">
        <v>2</v>
      </c>
      <c r="O32" s="1">
        <f>'NoContext Individual'!T12</f>
        <v>0.17203380819059153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01E77-C9BF-49CE-ABB5-31589ADC113B}">
  <dimension ref="A2:W40"/>
  <sheetViews>
    <sheetView zoomScale="85" zoomScaleNormal="85" workbookViewId="0">
      <selection activeCell="W14" sqref="W14"/>
    </sheetView>
  </sheetViews>
  <sheetFormatPr baseColWidth="10" defaultColWidth="9.140625" defaultRowHeight="15" x14ac:dyDescent="0.25"/>
  <cols>
    <col min="2" max="2" width="16.42578125" customWidth="1"/>
    <col min="3" max="3" width="19.85546875" customWidth="1"/>
    <col min="21" max="21" width="15.28515625" bestFit="1" customWidth="1"/>
    <col min="22" max="22" width="16.28515625" bestFit="1" customWidth="1"/>
  </cols>
  <sheetData>
    <row r="2" spans="1:23" x14ac:dyDescent="0.25">
      <c r="T2" s="2">
        <f>[1]Sheet1!$P$5</f>
        <v>0.19518072277839454</v>
      </c>
      <c r="U2" t="s">
        <v>0</v>
      </c>
      <c r="V2" t="s">
        <v>4</v>
      </c>
      <c r="W2" s="2">
        <f>[1]Sheet1!$M$8</f>
        <v>0.22155434467277019</v>
      </c>
    </row>
    <row r="3" spans="1:23" x14ac:dyDescent="0.25">
      <c r="A3">
        <f>'NoContext Araña'!O6</f>
        <v>26</v>
      </c>
      <c r="B3" t="s">
        <v>0</v>
      </c>
      <c r="C3" t="s">
        <v>4</v>
      </c>
      <c r="D3">
        <f>[1]Sheet1!$J$8</f>
        <v>18</v>
      </c>
      <c r="T3" s="2"/>
      <c r="V3" t="s">
        <v>3</v>
      </c>
      <c r="W3" s="2">
        <f>[1]Sheet1!$M$10</f>
        <v>0.13584007351604921</v>
      </c>
    </row>
    <row r="4" spans="1:23" x14ac:dyDescent="0.25">
      <c r="C4" t="s">
        <v>3</v>
      </c>
      <c r="D4">
        <f>[1]Sheet1!$J$10</f>
        <v>8</v>
      </c>
      <c r="F4">
        <f>SUM(D3:D4)</f>
        <v>26</v>
      </c>
      <c r="T4" s="2">
        <f>[2]Sheet1!$P$5</f>
        <v>0.1917733796534099</v>
      </c>
      <c r="U4" t="s">
        <v>19</v>
      </c>
      <c r="V4" t="s">
        <v>6</v>
      </c>
      <c r="W4" s="2">
        <f>[2]Sheet1!$M$8</f>
        <v>0.22406678733960186</v>
      </c>
    </row>
    <row r="5" spans="1:23" x14ac:dyDescent="0.25">
      <c r="A5">
        <f>'NoContext Araña'!O7</f>
        <v>31</v>
      </c>
      <c r="B5" t="s">
        <v>19</v>
      </c>
      <c r="C5" t="s">
        <v>6</v>
      </c>
      <c r="D5">
        <f>[2]Sheet1!$J$8</f>
        <v>19</v>
      </c>
      <c r="T5" s="2"/>
      <c r="V5" t="s">
        <v>5</v>
      </c>
      <c r="W5" s="2">
        <f>[2]Sheet1!$M$10</f>
        <v>0.14064215081693918</v>
      </c>
    </row>
    <row r="6" spans="1:23" x14ac:dyDescent="0.25">
      <c r="C6" t="s">
        <v>5</v>
      </c>
      <c r="D6">
        <f>[2]Sheet1!$J$10</f>
        <v>12</v>
      </c>
      <c r="F6">
        <f>SUM(D5:D6)</f>
        <v>31</v>
      </c>
      <c r="T6" s="2">
        <f>[3]Sheet1!$P$5</f>
        <v>0.13219419424020462</v>
      </c>
      <c r="U6" t="s">
        <v>20</v>
      </c>
      <c r="V6" t="s">
        <v>7</v>
      </c>
      <c r="W6" s="2">
        <f>[3]Sheet1!$M$8</f>
        <v>0.11188813606385294</v>
      </c>
    </row>
    <row r="7" spans="1:23" x14ac:dyDescent="0.25">
      <c r="A7">
        <f>'NoContext Araña'!O8</f>
        <v>16</v>
      </c>
      <c r="B7" t="s">
        <v>20</v>
      </c>
      <c r="C7" t="s">
        <v>7</v>
      </c>
      <c r="D7">
        <f>[3]Sheet1!$J$8</f>
        <v>8</v>
      </c>
      <c r="T7" s="2"/>
      <c r="V7" t="s">
        <v>8</v>
      </c>
      <c r="W7" s="2">
        <f>[3]Sheet1!$M$10</f>
        <v>0.15250025241655638</v>
      </c>
    </row>
    <row r="8" spans="1:23" x14ac:dyDescent="0.25">
      <c r="C8" t="s">
        <v>8</v>
      </c>
      <c r="D8">
        <f>[3]Sheet1!$J$10</f>
        <v>8</v>
      </c>
      <c r="F8">
        <f t="shared" ref="F8" si="0">SUM(D7:D8)</f>
        <v>16</v>
      </c>
      <c r="T8" s="2">
        <f>[4]Sheet1!$P$5</f>
        <v>0.17394192785941109</v>
      </c>
      <c r="U8" t="s">
        <v>18</v>
      </c>
      <c r="V8" t="s">
        <v>9</v>
      </c>
      <c r="W8" s="2">
        <f>[4]Sheet1!$M$8</f>
        <v>0.21931276195982033</v>
      </c>
    </row>
    <row r="9" spans="1:23" x14ac:dyDescent="0.25">
      <c r="A9">
        <f>'NoContext Araña'!O9</f>
        <v>280</v>
      </c>
      <c r="B9" t="s">
        <v>18</v>
      </c>
      <c r="C9" t="s">
        <v>9</v>
      </c>
      <c r="D9">
        <f>[4]Sheet1!$J$8</f>
        <v>148</v>
      </c>
      <c r="T9" s="2"/>
      <c r="V9" t="s">
        <v>10</v>
      </c>
      <c r="W9" s="2">
        <f>[4]Sheet1!$M$10</f>
        <v>0.12307159871652625</v>
      </c>
    </row>
    <row r="10" spans="1:23" x14ac:dyDescent="0.25">
      <c r="C10" t="s">
        <v>10</v>
      </c>
      <c r="D10">
        <f>[4]Sheet1!$J$10</f>
        <v>132</v>
      </c>
      <c r="F10">
        <f t="shared" ref="F10" si="1">SUM(D9:D10)</f>
        <v>280</v>
      </c>
      <c r="T10" s="2">
        <f>[5]Sheet1!$P$5</f>
        <v>0.17485394324213238</v>
      </c>
      <c r="U10" t="s">
        <v>1</v>
      </c>
      <c r="V10" t="s">
        <v>11</v>
      </c>
      <c r="W10" s="2">
        <f>[5]Sheet1!$M$8</f>
        <v>0.22010576351752781</v>
      </c>
    </row>
    <row r="11" spans="1:23" x14ac:dyDescent="0.25">
      <c r="A11">
        <f>'NoContext Araña'!O10</f>
        <v>284</v>
      </c>
      <c r="B11" t="s">
        <v>1</v>
      </c>
      <c r="C11" t="s">
        <v>11</v>
      </c>
      <c r="D11">
        <f>[5]Sheet1!$J$8</f>
        <v>150</v>
      </c>
      <c r="T11" s="2"/>
      <c r="V11" t="s">
        <v>12</v>
      </c>
      <c r="W11" s="2">
        <f>[5]Sheet1!$M$10</f>
        <v>0.12419892054579261</v>
      </c>
    </row>
    <row r="12" spans="1:23" x14ac:dyDescent="0.25">
      <c r="C12" t="s">
        <v>12</v>
      </c>
      <c r="D12">
        <f>[5]Sheet1!$J$10</f>
        <v>134</v>
      </c>
      <c r="F12">
        <f t="shared" ref="F12" si="2">SUM(D11:D12)</f>
        <v>284</v>
      </c>
      <c r="T12" s="2">
        <f>[6]Sheet1!$P$5</f>
        <v>0.17203380819059153</v>
      </c>
      <c r="U12" t="s">
        <v>2</v>
      </c>
      <c r="V12" t="s">
        <v>13</v>
      </c>
      <c r="W12" s="2">
        <f>[6]Sheet1!$M$8</f>
        <v>0.22853860294117598</v>
      </c>
    </row>
    <row r="13" spans="1:23" x14ac:dyDescent="0.25">
      <c r="A13">
        <f>'NoContext Araña'!O11</f>
        <v>275</v>
      </c>
      <c r="B13" t="s">
        <v>2</v>
      </c>
      <c r="C13" t="s">
        <v>13</v>
      </c>
      <c r="D13">
        <f>[6]Sheet1!$J$8</f>
        <v>128</v>
      </c>
      <c r="T13" s="2"/>
      <c r="V13" t="s">
        <v>14</v>
      </c>
      <c r="W13" s="2">
        <f>[6]Sheet1!$M$10</f>
        <v>0.12283235425810859</v>
      </c>
    </row>
    <row r="14" spans="1:23" x14ac:dyDescent="0.25">
      <c r="C14" t="s">
        <v>14</v>
      </c>
      <c r="D14">
        <f>[6]Sheet1!$J$10</f>
        <v>147</v>
      </c>
      <c r="F14">
        <f t="shared" ref="F14" si="3">SUM(D13:D14)</f>
        <v>275</v>
      </c>
    </row>
    <row r="29" spans="2:4" x14ac:dyDescent="0.25">
      <c r="B29" t="s">
        <v>0</v>
      </c>
      <c r="C29" t="s">
        <v>4</v>
      </c>
      <c r="D29" s="1">
        <f>D3/$F$4</f>
        <v>0.69230769230769229</v>
      </c>
    </row>
    <row r="30" spans="2:4" x14ac:dyDescent="0.25">
      <c r="C30" t="s">
        <v>3</v>
      </c>
      <c r="D30" s="1">
        <f t="shared" ref="D30" si="4">D4/$F$4</f>
        <v>0.30769230769230771</v>
      </c>
    </row>
    <row r="31" spans="2:4" x14ac:dyDescent="0.25">
      <c r="B31" t="s">
        <v>19</v>
      </c>
      <c r="C31" t="s">
        <v>6</v>
      </c>
      <c r="D31" s="1">
        <f>D5/$F$6</f>
        <v>0.61290322580645162</v>
      </c>
    </row>
    <row r="32" spans="2:4" x14ac:dyDescent="0.25">
      <c r="C32" t="s">
        <v>5</v>
      </c>
      <c r="D32" s="1">
        <f>D6/$F$6</f>
        <v>0.38709677419354838</v>
      </c>
    </row>
    <row r="33" spans="2:4" x14ac:dyDescent="0.25">
      <c r="B33" t="s">
        <v>20</v>
      </c>
      <c r="C33" t="s">
        <v>7</v>
      </c>
      <c r="D33" s="1">
        <f>D7/$F$8</f>
        <v>0.5</v>
      </c>
    </row>
    <row r="34" spans="2:4" x14ac:dyDescent="0.25">
      <c r="C34" t="s">
        <v>8</v>
      </c>
      <c r="D34" s="1">
        <f>D8/$F$8</f>
        <v>0.5</v>
      </c>
    </row>
    <row r="35" spans="2:4" x14ac:dyDescent="0.25">
      <c r="B35" t="s">
        <v>18</v>
      </c>
      <c r="C35" t="s">
        <v>9</v>
      </c>
      <c r="D35" s="1">
        <f>D9/$F$10</f>
        <v>0.52857142857142858</v>
      </c>
    </row>
    <row r="36" spans="2:4" x14ac:dyDescent="0.25">
      <c r="C36" t="s">
        <v>10</v>
      </c>
      <c r="D36" s="1">
        <f>D10/$F$10</f>
        <v>0.47142857142857142</v>
      </c>
    </row>
    <row r="37" spans="2:4" x14ac:dyDescent="0.25">
      <c r="B37" t="s">
        <v>1</v>
      </c>
      <c r="C37" t="s">
        <v>11</v>
      </c>
      <c r="D37" s="1">
        <f>IFERROR(D11/$F$12,0)</f>
        <v>0.528169014084507</v>
      </c>
    </row>
    <row r="38" spans="2:4" x14ac:dyDescent="0.25">
      <c r="C38" t="s">
        <v>12</v>
      </c>
      <c r="D38" s="1">
        <f>IFERROR(D12/$F$12,0)</f>
        <v>0.47183098591549294</v>
      </c>
    </row>
    <row r="39" spans="2:4" x14ac:dyDescent="0.25">
      <c r="B39" t="s">
        <v>2</v>
      </c>
      <c r="C39" t="s">
        <v>13</v>
      </c>
      <c r="D39" s="1">
        <f>D13/$F$14</f>
        <v>0.46545454545454545</v>
      </c>
    </row>
    <row r="40" spans="2:4" x14ac:dyDescent="0.25">
      <c r="C40" t="s">
        <v>14</v>
      </c>
      <c r="D40" s="1">
        <f>D14/$F$14</f>
        <v>0.53454545454545455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F0906-66EA-484F-8536-B9734E3B1627}">
  <dimension ref="B2:D13"/>
  <sheetViews>
    <sheetView tabSelected="1" workbookViewId="0">
      <selection activeCell="V7" sqref="V7"/>
    </sheetView>
  </sheetViews>
  <sheetFormatPr baseColWidth="10" defaultColWidth="9.140625" defaultRowHeight="15" x14ac:dyDescent="0.25"/>
  <cols>
    <col min="2" max="2" width="19.85546875" customWidth="1"/>
  </cols>
  <sheetData>
    <row r="2" spans="2:4" x14ac:dyDescent="0.25">
      <c r="B2" t="s">
        <v>21</v>
      </c>
    </row>
    <row r="3" spans="2:4" x14ac:dyDescent="0.25">
      <c r="B3" t="s">
        <v>17</v>
      </c>
      <c r="C3">
        <f>[7]Sheet1!$J$5</f>
        <v>271</v>
      </c>
    </row>
    <row r="4" spans="2:4" x14ac:dyDescent="0.25">
      <c r="B4" t="s">
        <v>15</v>
      </c>
      <c r="C4">
        <f>[7]Sheet1!$J$8</f>
        <v>128</v>
      </c>
    </row>
    <row r="5" spans="2:4" x14ac:dyDescent="0.25">
      <c r="B5" t="s">
        <v>16</v>
      </c>
      <c r="C5">
        <f>[7]Sheet1!$J$10</f>
        <v>143</v>
      </c>
    </row>
    <row r="10" spans="2:4" x14ac:dyDescent="0.25">
      <c r="B10" t="s">
        <v>22</v>
      </c>
    </row>
    <row r="11" spans="2:4" x14ac:dyDescent="0.25">
      <c r="B11" t="s">
        <v>17</v>
      </c>
      <c r="C11" s="1">
        <f>[7]Sheet1!$P$5</f>
        <v>0.17275241471666292</v>
      </c>
      <c r="D11" s="2"/>
    </row>
    <row r="12" spans="2:4" x14ac:dyDescent="0.25">
      <c r="B12" t="s">
        <v>15</v>
      </c>
      <c r="C12" s="1">
        <f>[7]Sheet1!$M$8</f>
        <v>0.22831777597402547</v>
      </c>
      <c r="D12" s="2"/>
    </row>
    <row r="13" spans="2:4" x14ac:dyDescent="0.25">
      <c r="B13" t="s">
        <v>16</v>
      </c>
      <c r="C13" s="1">
        <f>[7]Sheet1!$M$10</f>
        <v>0.12301558785692451</v>
      </c>
      <c r="D13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NoContext Araña</vt:lpstr>
      <vt:lpstr>NoContext Individual</vt:lpstr>
      <vt:lpstr>NoContext 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2026-06-12T08:23:24Z</dcterms:modified>
</cp:coreProperties>
</file>