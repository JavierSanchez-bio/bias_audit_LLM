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sanchez\Downloads\repo\bias_audit_LLM-main\03_organic_audit\0. Gráficos Finales\0. Sincero\"/>
    </mc:Choice>
  </mc:AlternateContent>
  <xr:revisionPtr revIDLastSave="0" documentId="13_ncr:1_{69A0E2D3-7637-40B3-99A3-91D5122AC21E}" xr6:coauthVersionLast="47" xr6:coauthVersionMax="47" xr10:uidLastSave="{00000000-0000-0000-0000-000000000000}"/>
  <bookViews>
    <workbookView xWindow="-28920" yWindow="-195" windowWidth="29040" windowHeight="15720" xr2:uid="{00000000-000D-0000-FFFF-FFFF00000000}"/>
  </bookViews>
  <sheets>
    <sheet name="FinGPT vs Llama" sheetId="1" r:id="rId1"/>
    <sheet name="Llama NoContext vs Vigeo" sheetId="3" r:id="rId2"/>
    <sheet name="FinGPT NoContext vs Vigeo" sheetId="2" r:id="rId3"/>
  </sheets>
  <externalReferences>
    <externalReference r:id="rId4"/>
    <externalReference r:id="rId5"/>
    <externalReference r:id="rId6"/>
    <externalReference r:id="rId7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5" i="1" l="1" a="1"/>
  <c r="P45" i="1" s="1"/>
  <c r="M45" i="1" a="1"/>
  <c r="M45" i="1" s="1"/>
  <c r="N50" i="1"/>
  <c r="Q50" i="1"/>
  <c r="N49" i="1"/>
  <c r="G46" i="1"/>
  <c r="G47" i="1"/>
  <c r="G48" i="1"/>
  <c r="G49" i="1"/>
  <c r="G50" i="1"/>
  <c r="G45" i="1"/>
  <c r="D46" i="1"/>
  <c r="D47" i="1"/>
  <c r="D48" i="1"/>
  <c r="D49" i="1"/>
  <c r="D50" i="1"/>
  <c r="D45" i="1"/>
  <c r="F45" i="1" a="1"/>
  <c r="F45" i="1" s="1"/>
  <c r="C45" i="1" a="1"/>
  <c r="C45" i="1" s="1"/>
  <c r="N45" i="1" l="1"/>
  <c r="Q45" i="1"/>
  <c r="N46" i="1"/>
  <c r="Q46" i="1"/>
  <c r="N47" i="1"/>
  <c r="Q47" i="1"/>
  <c r="N48" i="1"/>
  <c r="Q48" i="1"/>
  <c r="Q49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<sst xmlns="http://schemas.openxmlformats.org/spreadsheetml/2006/main" count="6" uniqueCount="4">
  <si>
    <t>NO CONTEXT</t>
  </si>
  <si>
    <t>VIGEO</t>
  </si>
  <si>
    <t>Llama</t>
  </si>
  <si>
    <t>FinGPT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</si>
</sst>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">
    <xf numFmtId="0" fontId="0" fillId="0" borderId="0" xfId="0"/>
    <xf numFmtId="9" fontId="0" fillId="0" borderId="0" xfId="1" applyFont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sheetMetadata" Target="metadata.xml"/><Relationship Id="rId5" Type="http://schemas.openxmlformats.org/officeDocument/2006/relationships/externalLink" Target="externalLinks/externalLink2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1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Number of discrepancies by Bias without using Vigeo Eiris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radarChart>
        <c:radarStyle val="marker"/>
        <c:varyColors val="0"/>
        <c:ser>
          <c:idx val="1"/>
          <c:order val="0"/>
          <c:tx>
            <c:v>Llama</c:v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'[1]NoContext Araña'!$N$6:$N$11</c:f>
              <c:strCache>
                <c:ptCount val="6"/>
                <c:pt idx="0">
                  <c:v>Religion</c:v>
                </c:pt>
                <c:pt idx="1">
                  <c:v>Religion-gender</c:v>
                </c:pt>
                <c:pt idx="2">
                  <c:v>Gender</c:v>
                </c:pt>
                <c:pt idx="3">
                  <c:v>Gender-age</c:v>
                </c:pt>
                <c:pt idx="4">
                  <c:v>Age</c:v>
                </c:pt>
                <c:pt idx="5">
                  <c:v>Age-religion</c:v>
                </c:pt>
              </c:strCache>
            </c:strRef>
          </c:cat>
          <c:val>
            <c:numRef>
              <c:f>'[1]NoContext Araña'!$O$6:$O$11</c:f>
              <c:numCache>
                <c:formatCode>General</c:formatCode>
                <c:ptCount val="6"/>
                <c:pt idx="0">
                  <c:v>17</c:v>
                </c:pt>
                <c:pt idx="1">
                  <c:v>18</c:v>
                </c:pt>
                <c:pt idx="2">
                  <c:v>9</c:v>
                </c:pt>
                <c:pt idx="3">
                  <c:v>216</c:v>
                </c:pt>
                <c:pt idx="4">
                  <c:v>240</c:v>
                </c:pt>
                <c:pt idx="5">
                  <c:v>217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095-4197-914F-D7F462DBEE47}"/>
            </c:ext>
          </c:extLst>
        </c:ser>
        <c:ser>
          <c:idx val="0"/>
          <c:order val="1"/>
          <c:tx>
            <c:v>FinGPT</c:v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'[2]NoContext Araña'!$N$6:$N$11</c:f>
              <c:strCache>
                <c:ptCount val="6"/>
                <c:pt idx="0">
                  <c:v>Religion</c:v>
                </c:pt>
                <c:pt idx="1">
                  <c:v>Religion-gender</c:v>
                </c:pt>
                <c:pt idx="2">
                  <c:v>Gender</c:v>
                </c:pt>
                <c:pt idx="3">
                  <c:v>Gender-age</c:v>
                </c:pt>
                <c:pt idx="4">
                  <c:v>Age</c:v>
                </c:pt>
                <c:pt idx="5">
                  <c:v>Age-religion</c:v>
                </c:pt>
              </c:strCache>
            </c:strRef>
          </c:cat>
          <c:val>
            <c:numRef>
              <c:f>'[2]NoContext Araña'!$O$6:$O$11</c:f>
              <c:numCache>
                <c:formatCode>General</c:formatCode>
                <c:ptCount val="6"/>
                <c:pt idx="0">
                  <c:v>26</c:v>
                </c:pt>
                <c:pt idx="1">
                  <c:v>31</c:v>
                </c:pt>
                <c:pt idx="2">
                  <c:v>16</c:v>
                </c:pt>
                <c:pt idx="3">
                  <c:v>280</c:v>
                </c:pt>
                <c:pt idx="4">
                  <c:v>284</c:v>
                </c:pt>
                <c:pt idx="5">
                  <c:v>275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095-4197-914F-D7F462DBEE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4606400"/>
        <c:axId val="1264608800"/>
      </c:radarChart>
      <c:catAx>
        <c:axId val="1264606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4608800"/>
        <c:crosses val="autoZero"/>
        <c:auto val="1"/>
        <c:lblAlgn val="ctr"/>
        <c:lblOffset val="100"/>
        <c:noMultiLvlLbl val="0"/>
      </c:catAx>
      <c:valAx>
        <c:axId val="1264608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4606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Deviation by Bias without using Vigeo Eiris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radarChart>
        <c:radarStyle val="marker"/>
        <c:varyColors val="0"/>
        <c:ser>
          <c:idx val="1"/>
          <c:order val="0"/>
          <c:tx>
            <c:v>Llama</c:v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'[1]NoContext Araña'!$N$27:$N$32</c:f>
              <c:strCache>
                <c:ptCount val="6"/>
                <c:pt idx="0">
                  <c:v>Religion</c:v>
                </c:pt>
                <c:pt idx="1">
                  <c:v>Religion-gender</c:v>
                </c:pt>
                <c:pt idx="2">
                  <c:v>Gender</c:v>
                </c:pt>
                <c:pt idx="3">
                  <c:v>Gender-age</c:v>
                </c:pt>
                <c:pt idx="4">
                  <c:v>Age</c:v>
                </c:pt>
                <c:pt idx="5">
                  <c:v>Age-religion</c:v>
                </c:pt>
              </c:strCache>
            </c:strRef>
          </c:cat>
          <c:val>
            <c:numRef>
              <c:f>'FinGPT vs Llama'!$D$45:$D$50</c:f>
              <c:numCache>
                <c:formatCode>0%</c:formatCode>
                <c:ptCount val="6"/>
                <c:pt idx="0">
                  <c:v>0.12136091709746598</c:v>
                </c:pt>
                <c:pt idx="1">
                  <c:v>0.12281914381065229</c:v>
                </c:pt>
                <c:pt idx="2">
                  <c:v>7.7073115800423586E-2</c:v>
                </c:pt>
                <c:pt idx="3">
                  <c:v>0.10369074913896771</c:v>
                </c:pt>
                <c:pt idx="4">
                  <c:v>0.10202672778386924</c:v>
                </c:pt>
                <c:pt idx="5">
                  <c:v>0.10729391702826152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9B3-4C3F-86C7-4CD9DE9A30A2}"/>
            </c:ext>
          </c:extLst>
        </c:ser>
        <c:ser>
          <c:idx val="0"/>
          <c:order val="1"/>
          <c:tx>
            <c:v>FinGPT</c:v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'[2]NoContext Araña'!$N$27:$N$32</c:f>
              <c:strCache>
                <c:ptCount val="6"/>
                <c:pt idx="0">
                  <c:v>Religion</c:v>
                </c:pt>
                <c:pt idx="1">
                  <c:v>Religion-gender</c:v>
                </c:pt>
                <c:pt idx="2">
                  <c:v>Gender</c:v>
                </c:pt>
                <c:pt idx="3">
                  <c:v>Gender-age</c:v>
                </c:pt>
                <c:pt idx="4">
                  <c:v>Age</c:v>
                </c:pt>
                <c:pt idx="5">
                  <c:v>Age-religion</c:v>
                </c:pt>
              </c:strCache>
            </c:strRef>
          </c:cat>
          <c:val>
            <c:numRef>
              <c:f>'FinGPT vs Llama'!$G$45:$G$50</c:f>
              <c:numCache>
                <c:formatCode>0%</c:formatCode>
                <c:ptCount val="6"/>
                <c:pt idx="0">
                  <c:v>9.7590361389197272E-2</c:v>
                </c:pt>
                <c:pt idx="1">
                  <c:v>9.5886689826704952E-2</c:v>
                </c:pt>
                <c:pt idx="2">
                  <c:v>6.6097097120102311E-2</c:v>
                </c:pt>
                <c:pt idx="3">
                  <c:v>8.6970963929705547E-2</c:v>
                </c:pt>
                <c:pt idx="4">
                  <c:v>8.7426971621066191E-2</c:v>
                </c:pt>
                <c:pt idx="5">
                  <c:v>8.6016904095295763E-2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9B3-4C3F-86C7-4CD9DE9A30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4606400"/>
        <c:axId val="1264608800"/>
      </c:radarChart>
      <c:catAx>
        <c:axId val="1264606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4608800"/>
        <c:crosses val="autoZero"/>
        <c:auto val="1"/>
        <c:lblAlgn val="ctr"/>
        <c:lblOffset val="100"/>
        <c:noMultiLvlLbl val="0"/>
      </c:catAx>
      <c:valAx>
        <c:axId val="126460880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4606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Number of discrepancies by Bias using Vigeo Eiris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radarChart>
        <c:radarStyle val="marker"/>
        <c:varyColors val="0"/>
        <c:ser>
          <c:idx val="1"/>
          <c:order val="0"/>
          <c:tx>
            <c:v>Llama</c:v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'[3]Vigeo Araña'!$N$6:$N$11</c:f>
              <c:strCache>
                <c:ptCount val="6"/>
                <c:pt idx="0">
                  <c:v>Religion</c:v>
                </c:pt>
                <c:pt idx="1">
                  <c:v>Religion-gender</c:v>
                </c:pt>
                <c:pt idx="2">
                  <c:v>Gender</c:v>
                </c:pt>
                <c:pt idx="3">
                  <c:v>Gender-age</c:v>
                </c:pt>
                <c:pt idx="4">
                  <c:v>Age</c:v>
                </c:pt>
                <c:pt idx="5">
                  <c:v>Age-religion</c:v>
                </c:pt>
              </c:strCache>
            </c:strRef>
          </c:cat>
          <c:val>
            <c:numRef>
              <c:f>'[3]Vigeo Araña'!$O$6:$O$11</c:f>
              <c:numCache>
                <c:formatCode>General</c:formatCode>
                <c:ptCount val="6"/>
                <c:pt idx="0">
                  <c:v>21</c:v>
                </c:pt>
                <c:pt idx="1">
                  <c:v>33</c:v>
                </c:pt>
                <c:pt idx="2">
                  <c:v>21</c:v>
                </c:pt>
                <c:pt idx="3">
                  <c:v>26</c:v>
                </c:pt>
                <c:pt idx="4">
                  <c:v>23</c:v>
                </c:pt>
                <c:pt idx="5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49C-4D03-AC8F-3B252F69ED2A}"/>
            </c:ext>
          </c:extLst>
        </c:ser>
        <c:ser>
          <c:idx val="0"/>
          <c:order val="1"/>
          <c:tx>
            <c:v>FinGPT</c:v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'[4]Vigeo Araña'!$N$6:$N$11</c:f>
              <c:strCache>
                <c:ptCount val="6"/>
                <c:pt idx="0">
                  <c:v>Religion</c:v>
                </c:pt>
                <c:pt idx="1">
                  <c:v>Religion-gender</c:v>
                </c:pt>
                <c:pt idx="2">
                  <c:v>Gender</c:v>
                </c:pt>
                <c:pt idx="3">
                  <c:v>Gender-age</c:v>
                </c:pt>
                <c:pt idx="4">
                  <c:v>Age</c:v>
                </c:pt>
                <c:pt idx="5">
                  <c:v>Age-religion</c:v>
                </c:pt>
              </c:strCache>
            </c:strRef>
          </c:cat>
          <c:val>
            <c:numRef>
              <c:f>'[4]Vigeo Araña'!$O$6:$O$11</c:f>
              <c:numCache>
                <c:formatCode>General</c:formatCode>
                <c:ptCount val="6"/>
                <c:pt idx="0">
                  <c:v>41</c:v>
                </c:pt>
                <c:pt idx="1">
                  <c:v>35</c:v>
                </c:pt>
                <c:pt idx="2">
                  <c:v>36</c:v>
                </c:pt>
                <c:pt idx="3">
                  <c:v>60</c:v>
                </c:pt>
                <c:pt idx="4">
                  <c:v>56</c:v>
                </c:pt>
                <c:pt idx="5">
                  <c:v>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49C-4D03-AC8F-3B252F69ED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4606400"/>
        <c:axId val="1264608800"/>
      </c:radarChart>
      <c:catAx>
        <c:axId val="1264606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4608800"/>
        <c:crosses val="autoZero"/>
        <c:auto val="1"/>
        <c:lblAlgn val="ctr"/>
        <c:lblOffset val="100"/>
        <c:noMultiLvlLbl val="0"/>
      </c:catAx>
      <c:valAx>
        <c:axId val="1264608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4606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Deviation by Bias using Vigeo Eiris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radarChart>
        <c:radarStyle val="marker"/>
        <c:varyColors val="0"/>
        <c:ser>
          <c:idx val="1"/>
          <c:order val="0"/>
          <c:tx>
            <c:v>Llama</c:v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'[3]Vigeo Araña'!$N$27:$N$32</c:f>
              <c:strCache>
                <c:ptCount val="6"/>
                <c:pt idx="0">
                  <c:v>Religion</c:v>
                </c:pt>
                <c:pt idx="1">
                  <c:v>Religion-gender</c:v>
                </c:pt>
                <c:pt idx="2">
                  <c:v>Gender</c:v>
                </c:pt>
                <c:pt idx="3">
                  <c:v>Gender-age</c:v>
                </c:pt>
                <c:pt idx="4">
                  <c:v>Age</c:v>
                </c:pt>
                <c:pt idx="5">
                  <c:v>Age-religion</c:v>
                </c:pt>
              </c:strCache>
            </c:strRef>
          </c:cat>
          <c:val>
            <c:numRef>
              <c:f>'FinGPT vs Llama'!$N$45:$N$50</c:f>
              <c:numCache>
                <c:formatCode>0%</c:formatCode>
                <c:ptCount val="6"/>
                <c:pt idx="0">
                  <c:v>0.15711000138209169</c:v>
                </c:pt>
                <c:pt idx="1">
                  <c:v>0.13309805648012549</c:v>
                </c:pt>
                <c:pt idx="2">
                  <c:v>0.14580781758266884</c:v>
                </c:pt>
                <c:pt idx="3">
                  <c:v>6.9365304498068575E-2</c:v>
                </c:pt>
                <c:pt idx="4">
                  <c:v>0.11893707150787348</c:v>
                </c:pt>
                <c:pt idx="5">
                  <c:v>0.12189727840607646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6EB-42AE-9494-FC351AADE32F}"/>
            </c:ext>
          </c:extLst>
        </c:ser>
        <c:ser>
          <c:idx val="0"/>
          <c:order val="1"/>
          <c:tx>
            <c:v>FinGPT</c:v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'[4]Vigeo Araña'!$N$27:$N$32</c:f>
              <c:strCache>
                <c:ptCount val="6"/>
                <c:pt idx="0">
                  <c:v>Religion</c:v>
                </c:pt>
                <c:pt idx="1">
                  <c:v>Religion-gender</c:v>
                </c:pt>
                <c:pt idx="2">
                  <c:v>Gender</c:v>
                </c:pt>
                <c:pt idx="3">
                  <c:v>Gender-age</c:v>
                </c:pt>
                <c:pt idx="4">
                  <c:v>Age</c:v>
                </c:pt>
                <c:pt idx="5">
                  <c:v>Age-religion</c:v>
                </c:pt>
              </c:strCache>
            </c:strRef>
          </c:cat>
          <c:val>
            <c:numRef>
              <c:f>'FinGPT vs Llama'!$Q$45:$Q$50</c:f>
              <c:numCache>
                <c:formatCode>0%</c:formatCode>
                <c:ptCount val="6"/>
                <c:pt idx="0">
                  <c:v>3.762003014770212E-2</c:v>
                </c:pt>
                <c:pt idx="1">
                  <c:v>4.5142021971054783E-2</c:v>
                </c:pt>
                <c:pt idx="2">
                  <c:v>3.7283713344860726E-2</c:v>
                </c:pt>
                <c:pt idx="3">
                  <c:v>4.7195980641383271E-2</c:v>
                </c:pt>
                <c:pt idx="4">
                  <c:v>5.1713321789239534E-2</c:v>
                </c:pt>
                <c:pt idx="5">
                  <c:v>3.7758889071078952E-2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6EB-42AE-9494-FC351AADE3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4606400"/>
        <c:axId val="1264608800"/>
      </c:radarChart>
      <c:catAx>
        <c:axId val="1264606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4608800"/>
        <c:crosses val="autoZero"/>
        <c:auto val="1"/>
        <c:lblAlgn val="ctr"/>
        <c:lblOffset val="100"/>
        <c:noMultiLvlLbl val="0"/>
      </c:catAx>
      <c:valAx>
        <c:axId val="126460880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4606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Llama - Comparison of discrepancies Using vs. Not using Vigeo Eiris Context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radarChart>
        <c:radarStyle val="marker"/>
        <c:varyColors val="0"/>
        <c:ser>
          <c:idx val="1"/>
          <c:order val="0"/>
          <c:tx>
            <c:v>Not using Vigeo Eiris</c:v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'[1]NoContext Araña'!$N$6:$N$11</c:f>
              <c:strCache>
                <c:ptCount val="6"/>
                <c:pt idx="0">
                  <c:v>Religion</c:v>
                </c:pt>
                <c:pt idx="1">
                  <c:v>Religion-gender</c:v>
                </c:pt>
                <c:pt idx="2">
                  <c:v>Gender</c:v>
                </c:pt>
                <c:pt idx="3">
                  <c:v>Gender-age</c:v>
                </c:pt>
                <c:pt idx="4">
                  <c:v>Age</c:v>
                </c:pt>
                <c:pt idx="5">
                  <c:v>Age-religion</c:v>
                </c:pt>
              </c:strCache>
            </c:strRef>
          </c:cat>
          <c:val>
            <c:numRef>
              <c:f>'[1]NoContext Araña'!$O$6:$O$11</c:f>
              <c:numCache>
                <c:formatCode>General</c:formatCode>
                <c:ptCount val="6"/>
                <c:pt idx="0">
                  <c:v>17</c:v>
                </c:pt>
                <c:pt idx="1">
                  <c:v>18</c:v>
                </c:pt>
                <c:pt idx="2">
                  <c:v>9</c:v>
                </c:pt>
                <c:pt idx="3">
                  <c:v>216</c:v>
                </c:pt>
                <c:pt idx="4">
                  <c:v>240</c:v>
                </c:pt>
                <c:pt idx="5">
                  <c:v>217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76B-49BD-9C27-411D4223B1F4}"/>
            </c:ext>
          </c:extLst>
        </c:ser>
        <c:ser>
          <c:idx val="0"/>
          <c:order val="1"/>
          <c:tx>
            <c:v>Using Vigeo Eiris</c:v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'[3]Vigeo Araña'!$N$6:$N$11</c:f>
              <c:strCache>
                <c:ptCount val="6"/>
                <c:pt idx="0">
                  <c:v>Religion</c:v>
                </c:pt>
                <c:pt idx="1">
                  <c:v>Religion-gender</c:v>
                </c:pt>
                <c:pt idx="2">
                  <c:v>Gender</c:v>
                </c:pt>
                <c:pt idx="3">
                  <c:v>Gender-age</c:v>
                </c:pt>
                <c:pt idx="4">
                  <c:v>Age</c:v>
                </c:pt>
                <c:pt idx="5">
                  <c:v>Age-religion</c:v>
                </c:pt>
              </c:strCache>
            </c:strRef>
          </c:cat>
          <c:val>
            <c:numRef>
              <c:f>'[3]Vigeo Araña'!$O$6:$O$11</c:f>
              <c:numCache>
                <c:formatCode>General</c:formatCode>
                <c:ptCount val="6"/>
                <c:pt idx="0">
                  <c:v>21</c:v>
                </c:pt>
                <c:pt idx="1">
                  <c:v>33</c:v>
                </c:pt>
                <c:pt idx="2">
                  <c:v>21</c:v>
                </c:pt>
                <c:pt idx="3">
                  <c:v>26</c:v>
                </c:pt>
                <c:pt idx="4">
                  <c:v>23</c:v>
                </c:pt>
                <c:pt idx="5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76B-49BD-9C27-411D4223B1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4606400"/>
        <c:axId val="1264608800"/>
      </c:radarChart>
      <c:catAx>
        <c:axId val="1264606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4608800"/>
        <c:crosses val="autoZero"/>
        <c:auto val="1"/>
        <c:lblAlgn val="ctr"/>
        <c:lblOffset val="100"/>
        <c:noMultiLvlLbl val="0"/>
      </c:catAx>
      <c:valAx>
        <c:axId val="1264608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4606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Llama - Comparison of deviation Using vs. Not using Vigeo Eiris Context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radarChart>
        <c:radarStyle val="marker"/>
        <c:varyColors val="0"/>
        <c:ser>
          <c:idx val="1"/>
          <c:order val="0"/>
          <c:tx>
            <c:v>Not using Vigeo Eiris</c:v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'[1]NoContext Araña'!$N$27:$N$32</c:f>
              <c:strCache>
                <c:ptCount val="6"/>
                <c:pt idx="0">
                  <c:v>Religion</c:v>
                </c:pt>
                <c:pt idx="1">
                  <c:v>Religion-gender</c:v>
                </c:pt>
                <c:pt idx="2">
                  <c:v>Gender</c:v>
                </c:pt>
                <c:pt idx="3">
                  <c:v>Gender-age</c:v>
                </c:pt>
                <c:pt idx="4">
                  <c:v>Age</c:v>
                </c:pt>
                <c:pt idx="5">
                  <c:v>Age-religion</c:v>
                </c:pt>
              </c:strCache>
            </c:strRef>
          </c:cat>
          <c:val>
            <c:numRef>
              <c:f>'[1]NoContext Araña'!$O$27:$O$32</c:f>
              <c:numCache>
                <c:formatCode>General</c:formatCode>
                <c:ptCount val="6"/>
                <c:pt idx="0">
                  <c:v>0.24272183419493196</c:v>
                </c:pt>
                <c:pt idx="1">
                  <c:v>0.24563828762130457</c:v>
                </c:pt>
                <c:pt idx="2">
                  <c:v>0.15414623160084717</c:v>
                </c:pt>
                <c:pt idx="3">
                  <c:v>0.20738149827793542</c:v>
                </c:pt>
                <c:pt idx="4">
                  <c:v>0.20405345556773849</c:v>
                </c:pt>
                <c:pt idx="5">
                  <c:v>0.21458783405652304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D6B-4409-BD06-4FABA5E5CDE8}"/>
            </c:ext>
          </c:extLst>
        </c:ser>
        <c:ser>
          <c:idx val="0"/>
          <c:order val="1"/>
          <c:tx>
            <c:v>Using Vigeo Eiris</c:v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'[3]Vigeo Araña'!$N$27:$N$32</c:f>
              <c:strCache>
                <c:ptCount val="6"/>
                <c:pt idx="0">
                  <c:v>Religion</c:v>
                </c:pt>
                <c:pt idx="1">
                  <c:v>Religion-gender</c:v>
                </c:pt>
                <c:pt idx="2">
                  <c:v>Gender</c:v>
                </c:pt>
                <c:pt idx="3">
                  <c:v>Gender-age</c:v>
                </c:pt>
                <c:pt idx="4">
                  <c:v>Age</c:v>
                </c:pt>
                <c:pt idx="5">
                  <c:v>Age-religion</c:v>
                </c:pt>
              </c:strCache>
            </c:strRef>
          </c:cat>
          <c:val>
            <c:numRef>
              <c:f>'[3]Vigeo Araña'!$O$27:$O$32</c:f>
              <c:numCache>
                <c:formatCode>General</c:formatCode>
                <c:ptCount val="6"/>
                <c:pt idx="0">
                  <c:v>0.31422000276418338</c:v>
                </c:pt>
                <c:pt idx="1">
                  <c:v>0.26619611296025097</c:v>
                </c:pt>
                <c:pt idx="2">
                  <c:v>0.29161563516533767</c:v>
                </c:pt>
                <c:pt idx="3">
                  <c:v>0.13873060899613715</c:v>
                </c:pt>
                <c:pt idx="4">
                  <c:v>0.23787414301574697</c:v>
                </c:pt>
                <c:pt idx="5">
                  <c:v>0.24379455681215292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D6B-4409-BD06-4FABA5E5CD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4606400"/>
        <c:axId val="1264608800"/>
      </c:radarChart>
      <c:catAx>
        <c:axId val="1264606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4608800"/>
        <c:crosses val="autoZero"/>
        <c:auto val="1"/>
        <c:lblAlgn val="ctr"/>
        <c:lblOffset val="100"/>
        <c:noMultiLvlLbl val="0"/>
      </c:catAx>
      <c:valAx>
        <c:axId val="1264608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4606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FinGPT - Comparison of discrepancies Using vs. Not using Vigeo Eiris Context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radarChart>
        <c:radarStyle val="marker"/>
        <c:varyColors val="0"/>
        <c:ser>
          <c:idx val="1"/>
          <c:order val="0"/>
          <c:tx>
            <c:v>Not using Vigeo Eiris</c:v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'[2]NoContext Araña'!$N$6:$N$11</c:f>
              <c:strCache>
                <c:ptCount val="6"/>
                <c:pt idx="0">
                  <c:v>Religion</c:v>
                </c:pt>
                <c:pt idx="1">
                  <c:v>Religion-gender</c:v>
                </c:pt>
                <c:pt idx="2">
                  <c:v>Gender</c:v>
                </c:pt>
                <c:pt idx="3">
                  <c:v>Gender-age</c:v>
                </c:pt>
                <c:pt idx="4">
                  <c:v>Age</c:v>
                </c:pt>
                <c:pt idx="5">
                  <c:v>Age-religion</c:v>
                </c:pt>
              </c:strCache>
            </c:strRef>
          </c:cat>
          <c:val>
            <c:numRef>
              <c:f>'[2]NoContext Araña'!$O$6:$O$11</c:f>
              <c:numCache>
                <c:formatCode>General</c:formatCode>
                <c:ptCount val="6"/>
                <c:pt idx="0">
                  <c:v>26</c:v>
                </c:pt>
                <c:pt idx="1">
                  <c:v>31</c:v>
                </c:pt>
                <c:pt idx="2">
                  <c:v>16</c:v>
                </c:pt>
                <c:pt idx="3">
                  <c:v>280</c:v>
                </c:pt>
                <c:pt idx="4">
                  <c:v>284</c:v>
                </c:pt>
                <c:pt idx="5">
                  <c:v>275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2FE-4DF5-80C7-59672F2F4C6A}"/>
            </c:ext>
          </c:extLst>
        </c:ser>
        <c:ser>
          <c:idx val="0"/>
          <c:order val="1"/>
          <c:tx>
            <c:v>Using Vigeo Eiris</c:v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'[4]Vigeo Araña'!$N$6:$N$11</c:f>
              <c:strCache>
                <c:ptCount val="6"/>
                <c:pt idx="0">
                  <c:v>Religion</c:v>
                </c:pt>
                <c:pt idx="1">
                  <c:v>Religion-gender</c:v>
                </c:pt>
                <c:pt idx="2">
                  <c:v>Gender</c:v>
                </c:pt>
                <c:pt idx="3">
                  <c:v>Gender-age</c:v>
                </c:pt>
                <c:pt idx="4">
                  <c:v>Age</c:v>
                </c:pt>
                <c:pt idx="5">
                  <c:v>Age-religion</c:v>
                </c:pt>
              </c:strCache>
            </c:strRef>
          </c:cat>
          <c:val>
            <c:numRef>
              <c:f>'[4]Vigeo Araña'!$O$6:$O$11</c:f>
              <c:numCache>
                <c:formatCode>General</c:formatCode>
                <c:ptCount val="6"/>
                <c:pt idx="0">
                  <c:v>41</c:v>
                </c:pt>
                <c:pt idx="1">
                  <c:v>35</c:v>
                </c:pt>
                <c:pt idx="2">
                  <c:v>36</c:v>
                </c:pt>
                <c:pt idx="3">
                  <c:v>60</c:v>
                </c:pt>
                <c:pt idx="4">
                  <c:v>56</c:v>
                </c:pt>
                <c:pt idx="5">
                  <c:v>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2FE-4DF5-80C7-59672F2F4C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4606400"/>
        <c:axId val="1264608800"/>
      </c:radarChart>
      <c:catAx>
        <c:axId val="1264606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4608800"/>
        <c:crosses val="autoZero"/>
        <c:auto val="1"/>
        <c:lblAlgn val="ctr"/>
        <c:lblOffset val="100"/>
        <c:noMultiLvlLbl val="0"/>
      </c:catAx>
      <c:valAx>
        <c:axId val="1264608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4606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FinGPT - Comparison of deviation Using vs. Not using Vigeo Eiris Context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radarChart>
        <c:radarStyle val="marker"/>
        <c:varyColors val="0"/>
        <c:ser>
          <c:idx val="1"/>
          <c:order val="0"/>
          <c:tx>
            <c:v>Not using Vigeo Eiris</c:v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'[2]NoContext Araña'!$N$27:$N$32</c:f>
              <c:strCache>
                <c:ptCount val="6"/>
                <c:pt idx="0">
                  <c:v>Religion</c:v>
                </c:pt>
                <c:pt idx="1">
                  <c:v>Religion-gender</c:v>
                </c:pt>
                <c:pt idx="2">
                  <c:v>Gender</c:v>
                </c:pt>
                <c:pt idx="3">
                  <c:v>Gender-age</c:v>
                </c:pt>
                <c:pt idx="4">
                  <c:v>Age</c:v>
                </c:pt>
                <c:pt idx="5">
                  <c:v>Age-religion</c:v>
                </c:pt>
              </c:strCache>
            </c:strRef>
          </c:cat>
          <c:val>
            <c:numRef>
              <c:f>'[2]NoContext Araña'!$O$27:$O$32</c:f>
              <c:numCache>
                <c:formatCode>General</c:formatCode>
                <c:ptCount val="6"/>
                <c:pt idx="0">
                  <c:v>0.19518072277839454</c:v>
                </c:pt>
                <c:pt idx="1">
                  <c:v>0.1917733796534099</c:v>
                </c:pt>
                <c:pt idx="2">
                  <c:v>0.13219419424020462</c:v>
                </c:pt>
                <c:pt idx="3">
                  <c:v>0.17394192785941109</c:v>
                </c:pt>
                <c:pt idx="4">
                  <c:v>0.17485394324213238</c:v>
                </c:pt>
                <c:pt idx="5">
                  <c:v>0.17203380819059153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FA0-44A3-A984-893876687530}"/>
            </c:ext>
          </c:extLst>
        </c:ser>
        <c:ser>
          <c:idx val="0"/>
          <c:order val="1"/>
          <c:tx>
            <c:v>Using Vigeo Eiris</c:v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'[4]Vigeo Araña'!$N$27:$N$32</c:f>
              <c:strCache>
                <c:ptCount val="6"/>
                <c:pt idx="0">
                  <c:v>Religion</c:v>
                </c:pt>
                <c:pt idx="1">
                  <c:v>Religion-gender</c:v>
                </c:pt>
                <c:pt idx="2">
                  <c:v>Gender</c:v>
                </c:pt>
                <c:pt idx="3">
                  <c:v>Gender-age</c:v>
                </c:pt>
                <c:pt idx="4">
                  <c:v>Age</c:v>
                </c:pt>
                <c:pt idx="5">
                  <c:v>Age-religion</c:v>
                </c:pt>
              </c:strCache>
            </c:strRef>
          </c:cat>
          <c:val>
            <c:numRef>
              <c:f>'[4]Vigeo Araña'!$O$27:$O$32</c:f>
              <c:numCache>
                <c:formatCode>General</c:formatCode>
                <c:ptCount val="6"/>
                <c:pt idx="0">
                  <c:v>7.524006029540424E-2</c:v>
                </c:pt>
                <c:pt idx="1">
                  <c:v>9.0284043942109565E-2</c:v>
                </c:pt>
                <c:pt idx="2">
                  <c:v>7.4567426689721453E-2</c:v>
                </c:pt>
                <c:pt idx="3">
                  <c:v>9.4391961282766543E-2</c:v>
                </c:pt>
                <c:pt idx="4">
                  <c:v>0.10342664357847907</c:v>
                </c:pt>
                <c:pt idx="5">
                  <c:v>7.5517778142157904E-2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FA0-44A3-A984-8938766875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4606400"/>
        <c:axId val="1264608800"/>
      </c:radarChart>
      <c:catAx>
        <c:axId val="1264606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4608800"/>
        <c:crosses val="autoZero"/>
        <c:auto val="1"/>
        <c:lblAlgn val="ctr"/>
        <c:lblOffset val="100"/>
        <c:noMultiLvlLbl val="0"/>
      </c:catAx>
      <c:valAx>
        <c:axId val="1264608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4606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2</xdr:row>
      <xdr:rowOff>171450</xdr:rowOff>
    </xdr:from>
    <xdr:to>
      <xdr:col>8</xdr:col>
      <xdr:colOff>540854</xdr:colOff>
      <xdr:row>21</xdr:row>
      <xdr:rowOff>66468</xdr:rowOff>
    </xdr:to>
    <xdr:graphicFrame macro="">
      <xdr:nvGraphicFramePr>
        <xdr:cNvPr id="2" name="Chart 3">
          <a:extLst>
            <a:ext uri="{FF2B5EF4-FFF2-40B4-BE49-F238E27FC236}">
              <a16:creationId xmlns:a16="http://schemas.microsoft.com/office/drawing/2014/main" id="{2A9A8170-FC8B-4CFA-A5AF-4EDD1FD626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276225</xdr:colOff>
      <xdr:row>22</xdr:row>
      <xdr:rowOff>152400</xdr:rowOff>
    </xdr:from>
    <xdr:to>
      <xdr:col>9</xdr:col>
      <xdr:colOff>16979</xdr:colOff>
      <xdr:row>41</xdr:row>
      <xdr:rowOff>47418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id="{3896A15E-EDCB-4EA0-B40A-BF16013DCB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476250</xdr:colOff>
      <xdr:row>2</xdr:row>
      <xdr:rowOff>171450</xdr:rowOff>
    </xdr:from>
    <xdr:to>
      <xdr:col>18</xdr:col>
      <xdr:colOff>217004</xdr:colOff>
      <xdr:row>21</xdr:row>
      <xdr:rowOff>66468</xdr:rowOff>
    </xdr:to>
    <xdr:graphicFrame macro="">
      <xdr:nvGraphicFramePr>
        <xdr:cNvPr id="8" name="Chart 3">
          <a:extLst>
            <a:ext uri="{FF2B5EF4-FFF2-40B4-BE49-F238E27FC236}">
              <a16:creationId xmlns:a16="http://schemas.microsoft.com/office/drawing/2014/main" id="{6ABA5D67-0410-4E3F-9B9D-2432AF09F8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523875</xdr:colOff>
      <xdr:row>23</xdr:row>
      <xdr:rowOff>85725</xdr:rowOff>
    </xdr:from>
    <xdr:to>
      <xdr:col>18</xdr:col>
      <xdr:colOff>264629</xdr:colOff>
      <xdr:row>41</xdr:row>
      <xdr:rowOff>171243</xdr:rowOff>
    </xdr:to>
    <xdr:graphicFrame macro="">
      <xdr:nvGraphicFramePr>
        <xdr:cNvPr id="9" name="Chart 3">
          <a:extLst>
            <a:ext uri="{FF2B5EF4-FFF2-40B4-BE49-F238E27FC236}">
              <a16:creationId xmlns:a16="http://schemas.microsoft.com/office/drawing/2014/main" id="{9875DD45-6D73-4FD6-97C0-7AACFC3C7F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114300</xdr:colOff>
      <xdr:row>5</xdr:row>
      <xdr:rowOff>171450</xdr:rowOff>
    </xdr:from>
    <xdr:to>
      <xdr:col>8</xdr:col>
      <xdr:colOff>7454</xdr:colOff>
      <xdr:row>24</xdr:row>
      <xdr:rowOff>66468</xdr:rowOff>
    </xdr:to>
    <xdr:graphicFrame macro="">
      <xdr:nvGraphicFramePr>
        <xdr:cNvPr id="2" name="Chart 3">
          <a:extLst>
            <a:ext uri="{FF2B5EF4-FFF2-40B4-BE49-F238E27FC236}">
              <a16:creationId xmlns:a16="http://schemas.microsoft.com/office/drawing/2014/main" id="{91886761-AA9F-437F-AC16-8957B2FA4D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504825</xdr:colOff>
      <xdr:row>5</xdr:row>
      <xdr:rowOff>161925</xdr:rowOff>
    </xdr:from>
    <xdr:to>
      <xdr:col>15</xdr:col>
      <xdr:colOff>397979</xdr:colOff>
      <xdr:row>24</xdr:row>
      <xdr:rowOff>56943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id="{0146DD00-5968-4E45-8976-828AB1B6D8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714375</xdr:colOff>
      <xdr:row>6</xdr:row>
      <xdr:rowOff>133350</xdr:rowOff>
    </xdr:from>
    <xdr:to>
      <xdr:col>7</xdr:col>
      <xdr:colOff>607529</xdr:colOff>
      <xdr:row>25</xdr:row>
      <xdr:rowOff>28368</xdr:rowOff>
    </xdr:to>
    <xdr:graphicFrame macro="">
      <xdr:nvGraphicFramePr>
        <xdr:cNvPr id="2" name="Chart 3">
          <a:extLst>
            <a:ext uri="{FF2B5EF4-FFF2-40B4-BE49-F238E27FC236}">
              <a16:creationId xmlns:a16="http://schemas.microsoft.com/office/drawing/2014/main" id="{F4FD7BD2-BFCD-4A79-8E8A-27AC04E013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714375</xdr:colOff>
      <xdr:row>7</xdr:row>
      <xdr:rowOff>9525</xdr:rowOff>
    </xdr:from>
    <xdr:to>
      <xdr:col>15</xdr:col>
      <xdr:colOff>607529</xdr:colOff>
      <xdr:row>25</xdr:row>
      <xdr:rowOff>95043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id="{80ECD997-74D9-4961-8AA8-87DE8CB7E3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sanchez\Downloads\organic_2\0.%20Gr&#225;ficos%20Finales\0.%20Sincero\Sincero_organic2_Llama_NoContext.xlsx" TargetMode="External"/><Relationship Id="rId1" Type="http://schemas.openxmlformats.org/officeDocument/2006/relationships/externalLinkPath" Target="Sincero_organic2_Llama_NoContext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sanchez\Downloads\organic_2\0.%20Gr&#225;ficos%20Finales\0.%20Sincero\Sincero_organic2_FinGPT_NoContext.xlsx" TargetMode="External"/><Relationship Id="rId1" Type="http://schemas.openxmlformats.org/officeDocument/2006/relationships/externalLinkPath" Target="Sincero_organic2_FinGPT_NoContext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sanchez\Downloads\organic_2\0.%20Gr&#225;ficos%20Finales\0.%20Sincero\Sincero_organic2_Llama_Vigeo.xlsx" TargetMode="External"/><Relationship Id="rId1" Type="http://schemas.openxmlformats.org/officeDocument/2006/relationships/externalLinkPath" Target="Sincero_organic2_Llama_Vigeo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sanchez\Downloads\organic_2\0.%20Gr&#225;ficos%20Finales\0.%20Sincero\Sincero_organic2_FinGPT_Vigeo.xlsx" TargetMode="External"/><Relationship Id="rId1" Type="http://schemas.openxmlformats.org/officeDocument/2006/relationships/externalLinkPath" Target="Sincero_organic2_FinGPT_Vige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oContext Araña"/>
      <sheetName val="NoContext Individual"/>
      <sheetName val="NoContext Full"/>
    </sheetNames>
    <sheetDataSet>
      <sheetData sheetId="0">
        <row r="6">
          <cell r="N6" t="str">
            <v>Religion</v>
          </cell>
          <cell r="O6">
            <v>17</v>
          </cell>
        </row>
        <row r="7">
          <cell r="N7" t="str">
            <v>Religion-gender</v>
          </cell>
          <cell r="O7">
            <v>18</v>
          </cell>
        </row>
        <row r="8">
          <cell r="N8" t="str">
            <v>Gender</v>
          </cell>
          <cell r="O8">
            <v>9</v>
          </cell>
        </row>
        <row r="9">
          <cell r="N9" t="str">
            <v>Gender-age</v>
          </cell>
          <cell r="O9">
            <v>216</v>
          </cell>
        </row>
        <row r="10">
          <cell r="N10" t="str">
            <v>Age</v>
          </cell>
          <cell r="O10">
            <v>240</v>
          </cell>
        </row>
        <row r="11">
          <cell r="N11" t="str">
            <v>Age-religion</v>
          </cell>
          <cell r="O11">
            <v>217</v>
          </cell>
        </row>
        <row r="27">
          <cell r="N27" t="str">
            <v>Religion</v>
          </cell>
          <cell r="O27">
            <v>0.24272183419493196</v>
          </cell>
        </row>
        <row r="28">
          <cell r="N28" t="str">
            <v>Religion-gender</v>
          </cell>
          <cell r="O28">
            <v>0.24563828762130457</v>
          </cell>
        </row>
        <row r="29">
          <cell r="N29" t="str">
            <v>Gender</v>
          </cell>
          <cell r="O29">
            <v>0.15414623160084717</v>
          </cell>
        </row>
        <row r="30">
          <cell r="N30" t="str">
            <v>Gender-age</v>
          </cell>
          <cell r="O30">
            <v>0.20738149827793542</v>
          </cell>
        </row>
        <row r="31">
          <cell r="N31" t="str">
            <v>Age</v>
          </cell>
          <cell r="O31">
            <v>0.20405345556773849</v>
          </cell>
        </row>
        <row r="32">
          <cell r="N32" t="str">
            <v>Age-religion</v>
          </cell>
          <cell r="O32">
            <v>0.21458783405652304</v>
          </cell>
        </row>
      </sheetData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oContext Araña"/>
      <sheetName val="NoContext Individual"/>
      <sheetName val="NoContext Full"/>
    </sheetNames>
    <sheetDataSet>
      <sheetData sheetId="0">
        <row r="6">
          <cell r="N6" t="str">
            <v>Religion</v>
          </cell>
          <cell r="O6">
            <v>26</v>
          </cell>
        </row>
        <row r="7">
          <cell r="N7" t="str">
            <v>Religion-gender</v>
          </cell>
          <cell r="O7">
            <v>31</v>
          </cell>
        </row>
        <row r="8">
          <cell r="N8" t="str">
            <v>Gender</v>
          </cell>
          <cell r="O8">
            <v>16</v>
          </cell>
        </row>
        <row r="9">
          <cell r="N9" t="str">
            <v>Gender-age</v>
          </cell>
          <cell r="O9">
            <v>280</v>
          </cell>
        </row>
        <row r="10">
          <cell r="N10" t="str">
            <v>Age</v>
          </cell>
          <cell r="O10">
            <v>284</v>
          </cell>
        </row>
        <row r="11">
          <cell r="N11" t="str">
            <v>Age-religion</v>
          </cell>
          <cell r="O11">
            <v>275</v>
          </cell>
        </row>
        <row r="27">
          <cell r="N27" t="str">
            <v>Religion</v>
          </cell>
          <cell r="O27">
            <v>0.19518072277839454</v>
          </cell>
        </row>
        <row r="28">
          <cell r="N28" t="str">
            <v>Religion-gender</v>
          </cell>
          <cell r="O28">
            <v>0.1917733796534099</v>
          </cell>
        </row>
        <row r="29">
          <cell r="N29" t="str">
            <v>Gender</v>
          </cell>
          <cell r="O29">
            <v>0.13219419424020462</v>
          </cell>
        </row>
        <row r="30">
          <cell r="N30" t="str">
            <v>Gender-age</v>
          </cell>
          <cell r="O30">
            <v>0.17394192785941109</v>
          </cell>
        </row>
        <row r="31">
          <cell r="N31" t="str">
            <v>Age</v>
          </cell>
          <cell r="O31">
            <v>0.17485394324213238</v>
          </cell>
        </row>
        <row r="32">
          <cell r="N32" t="str">
            <v>Age-religion</v>
          </cell>
          <cell r="O32">
            <v>0.17203380819059153</v>
          </cell>
        </row>
      </sheetData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igeo Araña"/>
      <sheetName val="Vigeo Individual"/>
      <sheetName val="Vigeo Full"/>
    </sheetNames>
    <sheetDataSet>
      <sheetData sheetId="0">
        <row r="6">
          <cell r="N6" t="str">
            <v>Religion</v>
          </cell>
          <cell r="O6">
            <v>21</v>
          </cell>
        </row>
        <row r="7">
          <cell r="N7" t="str">
            <v>Religion-gender</v>
          </cell>
          <cell r="O7">
            <v>33</v>
          </cell>
        </row>
        <row r="8">
          <cell r="N8" t="str">
            <v>Gender</v>
          </cell>
          <cell r="O8">
            <v>21</v>
          </cell>
        </row>
        <row r="9">
          <cell r="N9" t="str">
            <v>Gender-age</v>
          </cell>
          <cell r="O9">
            <v>26</v>
          </cell>
        </row>
        <row r="10">
          <cell r="N10" t="str">
            <v>Age</v>
          </cell>
          <cell r="O10">
            <v>23</v>
          </cell>
        </row>
        <row r="11">
          <cell r="N11" t="str">
            <v>Age-religion</v>
          </cell>
          <cell r="O11">
            <v>38</v>
          </cell>
        </row>
        <row r="27">
          <cell r="N27" t="str">
            <v>Religion</v>
          </cell>
          <cell r="O27">
            <v>0.31422000276418338</v>
          </cell>
        </row>
        <row r="28">
          <cell r="N28" t="str">
            <v>Religion-gender</v>
          </cell>
          <cell r="O28">
            <v>0.26619611296025097</v>
          </cell>
        </row>
        <row r="29">
          <cell r="N29" t="str">
            <v>Gender</v>
          </cell>
          <cell r="O29">
            <v>0.29161563516533767</v>
          </cell>
        </row>
        <row r="30">
          <cell r="N30" t="str">
            <v>Gender-age</v>
          </cell>
          <cell r="O30">
            <v>0.13873060899613715</v>
          </cell>
        </row>
        <row r="31">
          <cell r="N31" t="str">
            <v>Age</v>
          </cell>
          <cell r="O31">
            <v>0.23787414301574697</v>
          </cell>
        </row>
        <row r="32">
          <cell r="N32" t="str">
            <v>Age-religion</v>
          </cell>
          <cell r="O32">
            <v>0.24379455681215292</v>
          </cell>
        </row>
      </sheetData>
      <sheetData sheetId="1"/>
      <sheetData sheetId="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igeo Araña"/>
      <sheetName val="Vigeo Individual"/>
      <sheetName val="Vigeo Full"/>
    </sheetNames>
    <sheetDataSet>
      <sheetData sheetId="0">
        <row r="6">
          <cell r="N6" t="str">
            <v>Religion</v>
          </cell>
          <cell r="O6">
            <v>41</v>
          </cell>
        </row>
        <row r="7">
          <cell r="N7" t="str">
            <v>Religion-gender</v>
          </cell>
          <cell r="O7">
            <v>35</v>
          </cell>
        </row>
        <row r="8">
          <cell r="N8" t="str">
            <v>Gender</v>
          </cell>
          <cell r="O8">
            <v>36</v>
          </cell>
        </row>
        <row r="9">
          <cell r="N9" t="str">
            <v>Gender-age</v>
          </cell>
          <cell r="O9">
            <v>60</v>
          </cell>
        </row>
        <row r="10">
          <cell r="N10" t="str">
            <v>Age</v>
          </cell>
          <cell r="O10">
            <v>56</v>
          </cell>
        </row>
        <row r="11">
          <cell r="N11" t="str">
            <v>Age-religion</v>
          </cell>
          <cell r="O11">
            <v>62</v>
          </cell>
        </row>
        <row r="27">
          <cell r="N27" t="str">
            <v>Religion</v>
          </cell>
          <cell r="O27">
            <v>7.524006029540424E-2</v>
          </cell>
        </row>
        <row r="28">
          <cell r="N28" t="str">
            <v>Religion-gender</v>
          </cell>
          <cell r="O28">
            <v>9.0284043942109565E-2</v>
          </cell>
        </row>
        <row r="29">
          <cell r="N29" t="str">
            <v>Gender</v>
          </cell>
          <cell r="O29">
            <v>7.4567426689721453E-2</v>
          </cell>
        </row>
        <row r="30">
          <cell r="N30" t="str">
            <v>Gender-age</v>
          </cell>
          <cell r="O30">
            <v>9.4391961282766543E-2</v>
          </cell>
        </row>
        <row r="31">
          <cell r="N31" t="str">
            <v>Age</v>
          </cell>
          <cell r="O31">
            <v>0.10342664357847907</v>
          </cell>
        </row>
        <row r="32">
          <cell r="N32" t="str">
            <v>Age-religion</v>
          </cell>
          <cell r="O32">
            <v>7.5517778142157904E-2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Q50"/>
  <sheetViews>
    <sheetView tabSelected="1" topLeftCell="A15" workbookViewId="0">
      <selection activeCell="V26" sqref="V26"/>
    </sheetView>
  </sheetViews>
  <sheetFormatPr baseColWidth="10" defaultColWidth="9.140625" defaultRowHeight="15" x14ac:dyDescent="0.25"/>
  <sheetData>
    <row r="2" spans="4:14" x14ac:dyDescent="0.25">
      <c r="D2" t="s">
        <v>0</v>
      </c>
      <c r="N2" t="s">
        <v>1</v>
      </c>
    </row>
    <row r="44" spans="3:17" x14ac:dyDescent="0.25">
      <c r="C44" t="s">
        <v>2</v>
      </c>
      <c r="F44" t="s">
        <v>3</v>
      </c>
      <c r="M44" t="s">
        <v>2</v>
      </c>
      <c r="P44" t="s">
        <v>3</v>
      </c>
    </row>
    <row r="45" spans="3:17" x14ac:dyDescent="0.25">
      <c r="C45" cm="1">
        <f t="array" ref="C45:C50">'[1]NoContext Araña'!$O$27:$O$32</f>
        <v>0.24272183419493196</v>
      </c>
      <c r="D45" s="1">
        <f>C45/2</f>
        <v>0.12136091709746598</v>
      </c>
      <c r="F45" cm="1">
        <f t="array" ref="F45:F50">'[2]NoContext Araña'!$O$27:$O$32</f>
        <v>0.19518072277839454</v>
      </c>
      <c r="G45" s="1">
        <f>F45/2</f>
        <v>9.7590361389197272E-2</v>
      </c>
      <c r="M45" cm="1">
        <f t="array" ref="M45:M50">'[3]Vigeo Araña'!$O$27:$O$32</f>
        <v>0.31422000276418338</v>
      </c>
      <c r="N45" s="1">
        <f>M45/2</f>
        <v>0.15711000138209169</v>
      </c>
      <c r="P45" cm="1">
        <f t="array" ref="P45:P50">'[4]Vigeo Araña'!$O$27:$O$32</f>
        <v>7.524006029540424E-2</v>
      </c>
      <c r="Q45" s="1">
        <f>P45/2</f>
        <v>3.762003014770212E-2</v>
      </c>
    </row>
    <row r="46" spans="3:17" x14ac:dyDescent="0.25">
      <c r="C46">
        <v>0.24563828762130457</v>
      </c>
      <c r="D46" s="1">
        <f t="shared" ref="D46:D50" si="0">C46/2</f>
        <v>0.12281914381065229</v>
      </c>
      <c r="F46">
        <v>0.1917733796534099</v>
      </c>
      <c r="G46" s="1">
        <f t="shared" ref="G46:G50" si="1">F46/2</f>
        <v>9.5886689826704952E-2</v>
      </c>
      <c r="M46">
        <v>0.26619611296025097</v>
      </c>
      <c r="N46" s="1">
        <f t="shared" ref="N46:N50" si="2">M46/2</f>
        <v>0.13309805648012549</v>
      </c>
      <c r="P46">
        <v>9.0284043942109565E-2</v>
      </c>
      <c r="Q46" s="1">
        <f t="shared" ref="Q46:Q50" si="3">P46/2</f>
        <v>4.5142021971054783E-2</v>
      </c>
    </row>
    <row r="47" spans="3:17" x14ac:dyDescent="0.25">
      <c r="C47">
        <v>0.15414623160084717</v>
      </c>
      <c r="D47" s="1">
        <f t="shared" si="0"/>
        <v>7.7073115800423586E-2</v>
      </c>
      <c r="F47">
        <v>0.13219419424020462</v>
      </c>
      <c r="G47" s="1">
        <f t="shared" si="1"/>
        <v>6.6097097120102311E-2</v>
      </c>
      <c r="M47">
        <v>0.29161563516533767</v>
      </c>
      <c r="N47" s="1">
        <f t="shared" si="2"/>
        <v>0.14580781758266884</v>
      </c>
      <c r="P47">
        <v>7.4567426689721453E-2</v>
      </c>
      <c r="Q47" s="1">
        <f t="shared" si="3"/>
        <v>3.7283713344860726E-2</v>
      </c>
    </row>
    <row r="48" spans="3:17" x14ac:dyDescent="0.25">
      <c r="C48">
        <v>0.20738149827793542</v>
      </c>
      <c r="D48" s="1">
        <f t="shared" si="0"/>
        <v>0.10369074913896771</v>
      </c>
      <c r="F48">
        <v>0.17394192785941109</v>
      </c>
      <c r="G48" s="1">
        <f t="shared" si="1"/>
        <v>8.6970963929705547E-2</v>
      </c>
      <c r="M48">
        <v>0.13873060899613715</v>
      </c>
      <c r="N48" s="1">
        <f t="shared" si="2"/>
        <v>6.9365304498068575E-2</v>
      </c>
      <c r="P48">
        <v>9.4391961282766543E-2</v>
      </c>
      <c r="Q48" s="1">
        <f t="shared" si="3"/>
        <v>4.7195980641383271E-2</v>
      </c>
    </row>
    <row r="49" spans="3:17" x14ac:dyDescent="0.25">
      <c r="C49">
        <v>0.20405345556773849</v>
      </c>
      <c r="D49" s="1">
        <f t="shared" si="0"/>
        <v>0.10202672778386924</v>
      </c>
      <c r="F49">
        <v>0.17485394324213238</v>
      </c>
      <c r="G49" s="1">
        <f t="shared" si="1"/>
        <v>8.7426971621066191E-2</v>
      </c>
      <c r="M49">
        <v>0.23787414301574697</v>
      </c>
      <c r="N49" s="1">
        <f t="shared" si="2"/>
        <v>0.11893707150787348</v>
      </c>
      <c r="P49">
        <v>0.10342664357847907</v>
      </c>
      <c r="Q49" s="1">
        <f t="shared" si="3"/>
        <v>5.1713321789239534E-2</v>
      </c>
    </row>
    <row r="50" spans="3:17" x14ac:dyDescent="0.25">
      <c r="C50">
        <v>0.21458783405652304</v>
      </c>
      <c r="D50" s="1">
        <f t="shared" si="0"/>
        <v>0.10729391702826152</v>
      </c>
      <c r="F50">
        <v>0.17203380819059153</v>
      </c>
      <c r="G50" s="1">
        <f t="shared" si="1"/>
        <v>8.6016904095295763E-2</v>
      </c>
      <c r="M50">
        <v>0.24379455681215292</v>
      </c>
      <c r="N50" s="1">
        <f t="shared" si="2"/>
        <v>0.12189727840607646</v>
      </c>
      <c r="P50">
        <v>7.5517778142157904E-2</v>
      </c>
      <c r="Q50" s="1">
        <f t="shared" si="3"/>
        <v>3.7758889071078952E-2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36541-3EA6-43A7-862F-55234C83F1C6}">
  <dimension ref="A1"/>
  <sheetViews>
    <sheetView workbookViewId="0">
      <selection activeCell="J25" sqref="J2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42983-FF52-4B20-8E40-AF6FE52BA36D}">
  <dimension ref="A1"/>
  <sheetViews>
    <sheetView workbookViewId="0">
      <selection activeCell="R21" sqref="R21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FinGPT vs Llama</vt:lpstr>
      <vt:lpstr>Llama NoContext vs Vigeo</vt:lpstr>
      <vt:lpstr>FinGPT NoContext vs Vigeo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Sánchez del Río</dc:creator>
  <cp:lastModifiedBy>Javier Sánchez del Río</cp:lastModifiedBy>
  <dcterms:created xsi:type="dcterms:W3CDTF">2015-06-05T18:19:34Z</dcterms:created>
  <dcterms:modified xsi:type="dcterms:W3CDTF">2026-06-12T06:17:29Z</dcterms:modified>
</cp:coreProperties>
</file>