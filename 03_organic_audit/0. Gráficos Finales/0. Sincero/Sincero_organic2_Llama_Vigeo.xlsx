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0. Sincero\"/>
    </mc:Choice>
  </mc:AlternateContent>
  <xr:revisionPtr revIDLastSave="0" documentId="13_ncr:1_{0944FC67-C00A-4C14-A1D7-3702C8C182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<sst xmlns="http://schemas.openxmlformats.org/spreadsheetml/2006/main" count="74" uniqueCount="23">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</sst>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21</c:v>
                </c:pt>
                <c:pt idx="1">
                  <c:v>33</c:v>
                </c:pt>
                <c:pt idx="2">
                  <c:v>21</c:v>
                </c:pt>
                <c:pt idx="3">
                  <c:v>26</c:v>
                </c:pt>
                <c:pt idx="4">
                  <c:v>23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0.31422000276418338</c:v>
                </c:pt>
                <c:pt idx="1">
                  <c:v>0.26619611296025097</c:v>
                </c:pt>
                <c:pt idx="2">
                  <c:v>0.29161563516533767</c:v>
                </c:pt>
                <c:pt idx="3">
                  <c:v>0.13873060899613715</c:v>
                </c:pt>
                <c:pt idx="4">
                  <c:v>0.23787414301574697</c:v>
                </c:pt>
                <c:pt idx="5">
                  <c:v>0.24379455681215292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6</c:v>
                </c:pt>
                <c:pt idx="3">
                  <c:v>27</c:v>
                </c:pt>
                <c:pt idx="4">
                  <c:v>16</c:v>
                </c:pt>
                <c:pt idx="5">
                  <c:v>5</c:v>
                </c:pt>
                <c:pt idx="6">
                  <c:v>12</c:v>
                </c:pt>
                <c:pt idx="7">
                  <c:v>14</c:v>
                </c:pt>
                <c:pt idx="8">
                  <c:v>7</c:v>
                </c:pt>
                <c:pt idx="9">
                  <c:v>16</c:v>
                </c:pt>
                <c:pt idx="10">
                  <c:v>4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0.38095238095238093</c:v>
                </c:pt>
                <c:pt idx="1">
                  <c:v>0.61904761904761907</c:v>
                </c:pt>
                <c:pt idx="2">
                  <c:v>0.18181818181818182</c:v>
                </c:pt>
                <c:pt idx="3">
                  <c:v>0.81818181818181823</c:v>
                </c:pt>
                <c:pt idx="4">
                  <c:v>0.76190476190476186</c:v>
                </c:pt>
                <c:pt idx="5">
                  <c:v>0.23809523809523808</c:v>
                </c:pt>
                <c:pt idx="6">
                  <c:v>0.46153846153846156</c:v>
                </c:pt>
                <c:pt idx="7">
                  <c:v>0.53846153846153844</c:v>
                </c:pt>
                <c:pt idx="8">
                  <c:v>0.30434782608695654</c:v>
                </c:pt>
                <c:pt idx="9">
                  <c:v>0.69565217391304346</c:v>
                </c:pt>
                <c:pt idx="10">
                  <c:v>0.10526315789473684</c:v>
                </c:pt>
                <c:pt idx="11">
                  <c:v>0.89473684210526316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Individual'!$W$2:$W$13</c:f>
              <c:numCache>
                <c:formatCode>0.0%</c:formatCode>
                <c:ptCount val="12"/>
                <c:pt idx="0">
                  <c:v>0.34083633660197626</c:v>
                </c:pt>
                <c:pt idx="1">
                  <c:v>0.27366995095906604</c:v>
                </c:pt>
                <c:pt idx="2">
                  <c:v>0.16707550761931791</c:v>
                </c:pt>
                <c:pt idx="3">
                  <c:v>0.28822291414712498</c:v>
                </c:pt>
                <c:pt idx="4">
                  <c:v>0.33123599065320269</c:v>
                </c:pt>
                <c:pt idx="5">
                  <c:v>0.10650737057110213</c:v>
                </c:pt>
                <c:pt idx="6">
                  <c:v>7.9199359534436131E-2</c:v>
                </c:pt>
                <c:pt idx="7">
                  <c:v>0.1897573942490238</c:v>
                </c:pt>
                <c:pt idx="8">
                  <c:v>0.18901287179104331</c:v>
                </c:pt>
                <c:pt idx="9">
                  <c:v>0.25925094917655483</c:v>
                </c:pt>
                <c:pt idx="10">
                  <c:v>0.31512588816805687</c:v>
                </c:pt>
                <c:pt idx="11">
                  <c:v>0.23540263547616427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14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0%</c:formatCode>
                <c:ptCount val="2"/>
                <c:pt idx="0">
                  <c:v>0.21608097141047505</c:v>
                </c:pt>
                <c:pt idx="1">
                  <c:v>0.23678457468076272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organic_2/0.%20sincero/Llama/Vigeo/Llama_religion.xlsx" TargetMode="External"/><Relationship Id="rId2" Type="http://schemas.openxmlformats.org/officeDocument/2006/relationships/externalLinkPath" Target="file:///C:\Users\jsanchez\Downloads\organic\Llama\No%20Context\Llama_religion.xlsx" TargetMode="External"/><Relationship Id="rId1" Type="http://schemas.openxmlformats.org/officeDocument/2006/relationships/externalLinkPath" Target="/Users/jsanchez/Downloads/organic_2/0.%20sincero/Llama/Vigeo/Llama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religion_gender.xlsx" TargetMode="External"/><Relationship Id="rId1" Type="http://schemas.openxmlformats.org/officeDocument/2006/relationships/externalLinkPath" Target="/Users/jsanchez/Downloads/organic_2/0.%20sincero/Llama/Vigeo/Llama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gender.xlsx" TargetMode="External"/><Relationship Id="rId1" Type="http://schemas.openxmlformats.org/officeDocument/2006/relationships/externalLinkPath" Target="/Users/jsanchez/Downloads/organic_2/0.%20sincero/Llama/Vigeo/Llama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age_gender.xlsx" TargetMode="External"/><Relationship Id="rId1" Type="http://schemas.openxmlformats.org/officeDocument/2006/relationships/externalLinkPath" Target="/Users/jsanchez/Downloads/organic_2/0.%20sincero/Llama/Vigeo/Llama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age.xlsx" TargetMode="External"/><Relationship Id="rId1" Type="http://schemas.openxmlformats.org/officeDocument/2006/relationships/externalLinkPath" Target="/Users/jsanchez/Downloads/organic_2/0.%20sincero/Llama/Vigeo/Llama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age_religion.xlsx" TargetMode="External"/><Relationship Id="rId1" Type="http://schemas.openxmlformats.org/officeDocument/2006/relationships/externalLinkPath" Target="/Users/jsanchez/Downloads/organic_2/0.%20sincero/Llama/Vigeo/Llama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Llama/Vigeo/Llama_full.xlsx" TargetMode="External"/><Relationship Id="rId1" Type="http://schemas.openxmlformats.org/officeDocument/2006/relationships/externalLinkPath" Target="/Users/jsanchez/Downloads/organic_2/0.%20sincero/Llama/Vigeo/Llama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J5">
            <v>21</v>
          </cell>
          <cell r="P5">
            <v>0.31422000276418338</v>
          </cell>
        </row>
        <row r="8">
          <cell r="J8">
            <v>8</v>
          </cell>
          <cell r="M8">
            <v>0.34083633660197626</v>
          </cell>
        </row>
        <row r="10">
          <cell r="J10">
            <v>13</v>
          </cell>
          <cell r="M10">
            <v>0.27366995095906604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33</v>
          </cell>
          <cell r="P5">
            <v>0.26619611296025097</v>
          </cell>
        </row>
        <row r="8">
          <cell r="J8">
            <v>6</v>
          </cell>
          <cell r="M8">
            <v>0.16707550761931791</v>
          </cell>
        </row>
        <row r="10">
          <cell r="J10">
            <v>27</v>
          </cell>
          <cell r="M10">
            <v>0.28822291414712498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21</v>
          </cell>
          <cell r="P5">
            <v>0.29161563516533767</v>
          </cell>
        </row>
        <row r="8">
          <cell r="J8">
            <v>16</v>
          </cell>
          <cell r="M8">
            <v>0.33123599065320269</v>
          </cell>
        </row>
        <row r="10">
          <cell r="J10">
            <v>5</v>
          </cell>
          <cell r="M10">
            <v>0.10650737057110213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26</v>
          </cell>
          <cell r="P5">
            <v>0.13873060899613715</v>
          </cell>
        </row>
        <row r="8">
          <cell r="J8">
            <v>12</v>
          </cell>
          <cell r="M8">
            <v>7.9199359534436131E-2</v>
          </cell>
        </row>
        <row r="10">
          <cell r="J10">
            <v>14</v>
          </cell>
          <cell r="M10">
            <v>0.1897573942490238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23</v>
          </cell>
          <cell r="P5">
            <v>0.23787414301574697</v>
          </cell>
        </row>
        <row r="8">
          <cell r="J8">
            <v>7</v>
          </cell>
          <cell r="M8">
            <v>0.18901287179104331</v>
          </cell>
        </row>
        <row r="10">
          <cell r="J10">
            <v>16</v>
          </cell>
          <cell r="M10">
            <v>0.25925094917655483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38</v>
          </cell>
          <cell r="P5">
            <v>0.24379455681215292</v>
          </cell>
        </row>
        <row r="8">
          <cell r="J8">
            <v>4</v>
          </cell>
          <cell r="M8">
            <v>0.31512588816805687</v>
          </cell>
        </row>
        <row r="10">
          <cell r="J10">
            <v>34</v>
          </cell>
          <cell r="M10">
            <v>0.23540263547616427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34</v>
          </cell>
          <cell r="P5">
            <v>0.22825956156946781</v>
          </cell>
        </row>
        <row r="8">
          <cell r="J8">
            <v>14</v>
          </cell>
          <cell r="M8">
            <v>0.21608097141047505</v>
          </cell>
        </row>
        <row r="10">
          <cell r="J10">
            <v>20</v>
          </cell>
          <cell r="M10">
            <v>0.23678457468076272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R16" sqref="R16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[1]Sheet1!$J$5</f>
        <v>21</v>
      </c>
    </row>
    <row r="7" spans="14:15" x14ac:dyDescent="0.25">
      <c r="N7" t="s">
        <v>19</v>
      </c>
      <c r="O7">
        <f>[2]Sheet1!$J$5</f>
        <v>33</v>
      </c>
    </row>
    <row r="8" spans="14:15" x14ac:dyDescent="0.25">
      <c r="N8" t="s">
        <v>20</v>
      </c>
      <c r="O8">
        <f>[3]Sheet1!$J$5</f>
        <v>21</v>
      </c>
    </row>
    <row r="9" spans="14:15" x14ac:dyDescent="0.25">
      <c r="N9" t="s">
        <v>18</v>
      </c>
      <c r="O9">
        <f>[4]Sheet1!$J$5</f>
        <v>26</v>
      </c>
    </row>
    <row r="10" spans="14:15" x14ac:dyDescent="0.25">
      <c r="N10" t="s">
        <v>1</v>
      </c>
      <c r="O10">
        <f>[5]Sheet1!$J$5</f>
        <v>23</v>
      </c>
    </row>
    <row r="11" spans="14:15" x14ac:dyDescent="0.25">
      <c r="N11" t="s">
        <v>2</v>
      </c>
      <c r="O11">
        <f>[6]Sheet1!$J$5</f>
        <v>38</v>
      </c>
    </row>
    <row r="27" spans="14:15" x14ac:dyDescent="0.25">
      <c r="N27" t="s">
        <v>0</v>
      </c>
      <c r="O27" s="1">
        <f>'Vigeo Individual'!T2</f>
        <v>0.31422000276418338</v>
      </c>
    </row>
    <row r="28" spans="14:15" x14ac:dyDescent="0.25">
      <c r="N28" t="s">
        <v>19</v>
      </c>
      <c r="O28" s="1">
        <f>'Vigeo Individual'!T4</f>
        <v>0.26619611296025097</v>
      </c>
    </row>
    <row r="29" spans="14:15" x14ac:dyDescent="0.25">
      <c r="N29" t="s">
        <v>20</v>
      </c>
      <c r="O29" s="1">
        <f>'Vigeo Individual'!T6</f>
        <v>0.29161563516533767</v>
      </c>
    </row>
    <row r="30" spans="14:15" x14ac:dyDescent="0.25">
      <c r="N30" t="s">
        <v>18</v>
      </c>
      <c r="O30" s="1">
        <f>'Vigeo Individual'!T8</f>
        <v>0.13873060899613715</v>
      </c>
    </row>
    <row r="31" spans="14:15" x14ac:dyDescent="0.25">
      <c r="N31" t="s">
        <v>1</v>
      </c>
      <c r="O31" s="1">
        <f>'Vigeo Individual'!T10</f>
        <v>0.23787414301574697</v>
      </c>
    </row>
    <row r="32" spans="14:15" x14ac:dyDescent="0.25">
      <c r="N32" t="s">
        <v>2</v>
      </c>
      <c r="O32" s="1">
        <f>'Vigeo Individual'!T12</f>
        <v>0.24379455681215292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tabSelected="1" zoomScale="85" zoomScaleNormal="85" workbookViewId="0">
      <selection activeCell="F3" sqref="F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[1]Sheet1!$P$5</f>
        <v>0.31422000276418338</v>
      </c>
      <c r="U2" t="s">
        <v>0</v>
      </c>
      <c r="V2" t="s">
        <v>4</v>
      </c>
      <c r="W2" s="2">
        <f>[1]Sheet1!$M$8</f>
        <v>0.34083633660197626</v>
      </c>
    </row>
    <row r="3" spans="1:23" x14ac:dyDescent="0.25">
      <c r="A3">
        <f>'Vigeo Araña'!O6</f>
        <v>21</v>
      </c>
      <c r="B3" t="s">
        <v>0</v>
      </c>
      <c r="C3" t="s">
        <v>4</v>
      </c>
      <c r="D3">
        <f>[1]Sheet1!$J$8</f>
        <v>8</v>
      </c>
      <c r="T3" s="2"/>
      <c r="V3" t="s">
        <v>3</v>
      </c>
      <c r="W3" s="2">
        <f>[1]Sheet1!$M$10</f>
        <v>0.27366995095906604</v>
      </c>
    </row>
    <row r="4" spans="1:23" x14ac:dyDescent="0.25">
      <c r="C4" t="s">
        <v>3</v>
      </c>
      <c r="D4">
        <f>[1]Sheet1!$J$10</f>
        <v>13</v>
      </c>
      <c r="F4">
        <f>SUM(D3:D4)</f>
        <v>21</v>
      </c>
      <c r="T4" s="2">
        <f>[2]Sheet1!$P$5</f>
        <v>0.26619611296025097</v>
      </c>
      <c r="U4" t="s">
        <v>19</v>
      </c>
      <c r="V4" t="s">
        <v>6</v>
      </c>
      <c r="W4" s="2">
        <f>[2]Sheet1!$M$8</f>
        <v>0.16707550761931791</v>
      </c>
    </row>
    <row r="5" spans="1:23" x14ac:dyDescent="0.25">
      <c r="A5">
        <f>'Vigeo Araña'!O7</f>
        <v>33</v>
      </c>
      <c r="B5" t="s">
        <v>19</v>
      </c>
      <c r="C5" t="s">
        <v>6</v>
      </c>
      <c r="D5">
        <f>[2]Sheet1!$J$8</f>
        <v>6</v>
      </c>
      <c r="T5" s="2"/>
      <c r="V5" t="s">
        <v>5</v>
      </c>
      <c r="W5" s="2">
        <f>[2]Sheet1!$M$10</f>
        <v>0.28822291414712498</v>
      </c>
    </row>
    <row r="6" spans="1:23" x14ac:dyDescent="0.25">
      <c r="C6" t="s">
        <v>5</v>
      </c>
      <c r="D6">
        <f>[2]Sheet1!$J$10</f>
        <v>27</v>
      </c>
      <c r="F6">
        <f>SUM(D5:D6)</f>
        <v>33</v>
      </c>
      <c r="T6" s="2">
        <f>[3]Sheet1!$P$5</f>
        <v>0.29161563516533767</v>
      </c>
      <c r="U6" t="s">
        <v>20</v>
      </c>
      <c r="V6" t="s">
        <v>7</v>
      </c>
      <c r="W6" s="2">
        <f>[3]Sheet1!$M$8</f>
        <v>0.33123599065320269</v>
      </c>
    </row>
    <row r="7" spans="1:23" x14ac:dyDescent="0.25">
      <c r="A7">
        <f>'Vigeo Araña'!O8</f>
        <v>21</v>
      </c>
      <c r="B7" t="s">
        <v>20</v>
      </c>
      <c r="C7" t="s">
        <v>7</v>
      </c>
      <c r="D7">
        <f>[3]Sheet1!$J$8</f>
        <v>16</v>
      </c>
      <c r="T7" s="2"/>
      <c r="V7" t="s">
        <v>8</v>
      </c>
      <c r="W7" s="2">
        <f>[3]Sheet1!$M$10</f>
        <v>0.10650737057110213</v>
      </c>
    </row>
    <row r="8" spans="1:23" x14ac:dyDescent="0.25">
      <c r="C8" t="s">
        <v>8</v>
      </c>
      <c r="D8">
        <f>[3]Sheet1!$J$10</f>
        <v>5</v>
      </c>
      <c r="F8">
        <f t="shared" ref="F8" si="0">SUM(D7:D8)</f>
        <v>21</v>
      </c>
      <c r="T8" s="2">
        <f>[4]Sheet1!$P$5</f>
        <v>0.13873060899613715</v>
      </c>
      <c r="U8" t="s">
        <v>18</v>
      </c>
      <c r="V8" t="s">
        <v>9</v>
      </c>
      <c r="W8" s="2">
        <f>[4]Sheet1!$M$8</f>
        <v>7.9199359534436131E-2</v>
      </c>
    </row>
    <row r="9" spans="1:23" x14ac:dyDescent="0.25">
      <c r="A9">
        <f>'Vigeo Araña'!O9</f>
        <v>26</v>
      </c>
      <c r="B9" t="s">
        <v>18</v>
      </c>
      <c r="C9" t="s">
        <v>9</v>
      </c>
      <c r="D9">
        <f>[4]Sheet1!$J$8</f>
        <v>12</v>
      </c>
      <c r="T9" s="2"/>
      <c r="V9" t="s">
        <v>10</v>
      </c>
      <c r="W9" s="2">
        <f>[4]Sheet1!$M$10</f>
        <v>0.1897573942490238</v>
      </c>
    </row>
    <row r="10" spans="1:23" x14ac:dyDescent="0.25">
      <c r="C10" t="s">
        <v>10</v>
      </c>
      <c r="D10">
        <f>[4]Sheet1!$J$10</f>
        <v>14</v>
      </c>
      <c r="F10">
        <f t="shared" ref="F10" si="1">SUM(D9:D10)</f>
        <v>26</v>
      </c>
      <c r="T10" s="2">
        <f>[5]Sheet1!$P$5</f>
        <v>0.23787414301574697</v>
      </c>
      <c r="U10" t="s">
        <v>1</v>
      </c>
      <c r="V10" t="s">
        <v>11</v>
      </c>
      <c r="W10" s="2">
        <f>[5]Sheet1!$M$8</f>
        <v>0.18901287179104331</v>
      </c>
    </row>
    <row r="11" spans="1:23" x14ac:dyDescent="0.25">
      <c r="A11">
        <f>'Vigeo Araña'!O10</f>
        <v>23</v>
      </c>
      <c r="B11" t="s">
        <v>1</v>
      </c>
      <c r="C11" t="s">
        <v>11</v>
      </c>
      <c r="D11">
        <f>[5]Sheet1!$J$8</f>
        <v>7</v>
      </c>
      <c r="T11" s="2"/>
      <c r="V11" t="s">
        <v>12</v>
      </c>
      <c r="W11" s="2">
        <f>[5]Sheet1!$M$10</f>
        <v>0.25925094917655483</v>
      </c>
    </row>
    <row r="12" spans="1:23" x14ac:dyDescent="0.25">
      <c r="C12" t="s">
        <v>12</v>
      </c>
      <c r="D12">
        <f>[5]Sheet1!$J$10</f>
        <v>16</v>
      </c>
      <c r="F12">
        <f t="shared" ref="F12" si="2">SUM(D11:D12)</f>
        <v>23</v>
      </c>
      <c r="T12" s="2">
        <f>[6]Sheet1!$P$5</f>
        <v>0.24379455681215292</v>
      </c>
      <c r="U12" t="s">
        <v>2</v>
      </c>
      <c r="V12" t="s">
        <v>13</v>
      </c>
      <c r="W12" s="2">
        <f>IFERROR([6]Sheet1!$M$8,0)</f>
        <v>0.31512588816805687</v>
      </c>
    </row>
    <row r="13" spans="1:23" x14ac:dyDescent="0.25">
      <c r="A13">
        <f>'Vigeo Araña'!O11</f>
        <v>38</v>
      </c>
      <c r="B13" t="s">
        <v>2</v>
      </c>
      <c r="C13" t="s">
        <v>13</v>
      </c>
      <c r="D13">
        <f>[6]Sheet1!$J$8</f>
        <v>4</v>
      </c>
      <c r="T13" s="2"/>
      <c r="V13" t="s">
        <v>14</v>
      </c>
      <c r="W13" s="2">
        <f>[6]Sheet1!$M$10</f>
        <v>0.23540263547616427</v>
      </c>
    </row>
    <row r="14" spans="1:23" x14ac:dyDescent="0.25">
      <c r="C14" t="s">
        <v>14</v>
      </c>
      <c r="D14">
        <f>[6]Sheet1!$J$10</f>
        <v>34</v>
      </c>
      <c r="F14">
        <f t="shared" ref="F14" si="3">SUM(D13:D14)</f>
        <v>38</v>
      </c>
    </row>
    <row r="29" spans="2:4" x14ac:dyDescent="0.25">
      <c r="B29" t="s">
        <v>0</v>
      </c>
      <c r="C29" t="s">
        <v>4</v>
      </c>
      <c r="D29" s="1">
        <f>D3/$F$4</f>
        <v>0.38095238095238093</v>
      </c>
    </row>
    <row r="30" spans="2:4" x14ac:dyDescent="0.25">
      <c r="C30" t="s">
        <v>3</v>
      </c>
      <c r="D30" s="1">
        <f t="shared" ref="D30" si="4">D4/$F$4</f>
        <v>0.61904761904761907</v>
      </c>
    </row>
    <row r="31" spans="2:4" x14ac:dyDescent="0.25">
      <c r="B31" t="s">
        <v>19</v>
      </c>
      <c r="C31" t="s">
        <v>6</v>
      </c>
      <c r="D31" s="1">
        <f>D5/$F$6</f>
        <v>0.18181818181818182</v>
      </c>
    </row>
    <row r="32" spans="2:4" x14ac:dyDescent="0.25">
      <c r="C32" t="s">
        <v>5</v>
      </c>
      <c r="D32" s="1">
        <f>D6/$F$6</f>
        <v>0.81818181818181823</v>
      </c>
    </row>
    <row r="33" spans="2:4" x14ac:dyDescent="0.25">
      <c r="B33" t="s">
        <v>20</v>
      </c>
      <c r="C33" t="s">
        <v>7</v>
      </c>
      <c r="D33" s="1">
        <f>D7/$F$8</f>
        <v>0.76190476190476186</v>
      </c>
    </row>
    <row r="34" spans="2:4" x14ac:dyDescent="0.25">
      <c r="C34" t="s">
        <v>8</v>
      </c>
      <c r="D34" s="1">
        <f>D8/$F$8</f>
        <v>0.23809523809523808</v>
      </c>
    </row>
    <row r="35" spans="2:4" x14ac:dyDescent="0.25">
      <c r="B35" t="s">
        <v>18</v>
      </c>
      <c r="C35" t="s">
        <v>9</v>
      </c>
      <c r="D35" s="1">
        <f>D9/$F$10</f>
        <v>0.46153846153846156</v>
      </c>
    </row>
    <row r="36" spans="2:4" x14ac:dyDescent="0.25">
      <c r="C36" t="s">
        <v>10</v>
      </c>
      <c r="D36" s="1">
        <f>D10/$F$10</f>
        <v>0.53846153846153844</v>
      </c>
    </row>
    <row r="37" spans="2:4" x14ac:dyDescent="0.25">
      <c r="B37" t="s">
        <v>1</v>
      </c>
      <c r="C37" t="s">
        <v>11</v>
      </c>
      <c r="D37" s="1">
        <f>D11/$F$12</f>
        <v>0.30434782608695654</v>
      </c>
    </row>
    <row r="38" spans="2:4" x14ac:dyDescent="0.25">
      <c r="C38" t="s">
        <v>12</v>
      </c>
      <c r="D38" s="1">
        <f>D12/$F$12</f>
        <v>0.69565217391304346</v>
      </c>
    </row>
    <row r="39" spans="2:4" x14ac:dyDescent="0.25">
      <c r="B39" t="s">
        <v>2</v>
      </c>
      <c r="C39" t="s">
        <v>13</v>
      </c>
      <c r="D39" s="1">
        <f>D13/$F$14</f>
        <v>0.10526315789473684</v>
      </c>
    </row>
    <row r="40" spans="2:4" x14ac:dyDescent="0.25">
      <c r="C40" t="s">
        <v>14</v>
      </c>
      <c r="D40" s="1">
        <f>D14/$F$14</f>
        <v>0.89473684210526316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workbookViewId="0">
      <selection activeCell="W9" sqref="W9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[7]Sheet1!$J$5</f>
        <v>34</v>
      </c>
    </row>
    <row r="4" spans="2:4" x14ac:dyDescent="0.25">
      <c r="B4" t="s">
        <v>15</v>
      </c>
      <c r="C4">
        <f>[7]Sheet1!$J$8</f>
        <v>14</v>
      </c>
    </row>
    <row r="5" spans="2:4" x14ac:dyDescent="0.25">
      <c r="B5" t="s">
        <v>16</v>
      </c>
      <c r="C5">
        <f>[7]Sheet1!$J$10</f>
        <v>20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[7]Sheet1!$P$5</f>
        <v>0.22825956156946781</v>
      </c>
      <c r="D11" s="2"/>
    </row>
    <row r="12" spans="2:4" x14ac:dyDescent="0.25">
      <c r="B12" t="s">
        <v>15</v>
      </c>
      <c r="C12" s="1">
        <f>[7]Sheet1!$M$8</f>
        <v>0.21608097141047505</v>
      </c>
      <c r="D12" s="2"/>
    </row>
    <row r="13" spans="2:4" x14ac:dyDescent="0.25">
      <c r="B13" t="s">
        <v>16</v>
      </c>
      <c r="C13" s="1">
        <f>[7]Sheet1!$M$10</f>
        <v>0.23678457468076272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2026-06-12T08:25:04Z</dcterms:modified>
</cp:coreProperties>
</file>